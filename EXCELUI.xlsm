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mc:AlternateContent xmlns:mc="http://schemas.openxmlformats.org/markup-compatibility/2006">
    <mc:Choice Requires="x15">
      <x15ac:absPath xmlns:x15ac="http://schemas.microsoft.com/office/spreadsheetml/2010/11/ac" url="D:\Desktop\MortgageContractAuto\"/>
    </mc:Choice>
  </mc:AlternateContent>
  <xr:revisionPtr revIDLastSave="0" documentId="13_ncr:1_{DFDA0879-20B8-43B4-AA9D-D48CC756852E}" xr6:coauthVersionLast="47" xr6:coauthVersionMax="47" xr10:uidLastSave="{00000000-0000-0000-0000-000000000000}"/>
  <bookViews>
    <workbookView xWindow="-120" yWindow="-120" windowWidth="29040" windowHeight="15720" xr2:uid="{00000000-000D-0000-FFFF-FFFF00000000}"/>
  </bookViews>
  <sheets>
    <sheet name="WELCOME" sheetId="13" r:id="rId1"/>
    <sheet name="INPUT" sheetId="4" r:id="rId2"/>
    <sheet name="TEMPLATES" sheetId="11" r:id="rId3"/>
  </sheets>
  <functionGroups builtInGroupCount="19"/>
  <definedNames>
    <definedName name="COLLATERAL_TYPE">INPUT!$D$27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59" i="4" l="1"/>
  <c r="D57" i="4"/>
  <c r="F3" i="4" l="1"/>
  <c r="F55" i="4"/>
  <c r="F54" i="4"/>
  <c r="F53" i="4"/>
  <c r="F52" i="4"/>
  <c r="F51" i="4"/>
  <c r="F50" i="4"/>
  <c r="F49" i="4"/>
  <c r="F48" i="4"/>
  <c r="F46" i="4"/>
  <c r="F44" i="4"/>
  <c r="F42" i="4"/>
  <c r="F41" i="4"/>
  <c r="F39" i="4"/>
  <c r="F38" i="4"/>
  <c r="F36" i="4"/>
  <c r="F35" i="4"/>
  <c r="F34" i="4"/>
  <c r="F33" i="4"/>
  <c r="F32" i="4"/>
  <c r="F31" i="4"/>
  <c r="F30" i="4"/>
  <c r="F29" i="4"/>
  <c r="F26" i="4"/>
  <c r="F25" i="4"/>
  <c r="F24" i="4"/>
  <c r="F23" i="4"/>
  <c r="F22" i="4"/>
  <c r="F20" i="4"/>
  <c r="F19" i="4"/>
  <c r="F16" i="4"/>
  <c r="F15" i="4"/>
  <c r="F14" i="4"/>
  <c r="F13" i="4"/>
  <c r="F12" i="4"/>
  <c r="F11" i="4"/>
  <c r="F10" i="4"/>
  <c r="F8" i="4"/>
  <c r="F6" i="4"/>
  <c r="F5" i="4"/>
  <c r="F2" i="4"/>
  <c r="F7" i="4"/>
  <c r="D27" i="4"/>
  <c r="D51" i="4"/>
  <c r="D10" i="4"/>
  <c r="D22" i="4"/>
  <c r="D20" i="4"/>
  <c r="D21" i="4" s="1"/>
  <c r="D8" i="4"/>
  <c r="D9" i="4" s="1"/>
  <c r="D55" i="4"/>
  <c r="D54" i="4"/>
  <c r="D50" i="4"/>
  <c r="D49" i="4"/>
  <c r="D48" i="4"/>
  <c r="D53" i="4"/>
  <c r="D52" i="4"/>
  <c r="D14" i="4"/>
  <c r="D26" i="4"/>
  <c r="D25" i="4"/>
  <c r="D24" i="4"/>
  <c r="D23" i="4"/>
  <c r="D19" i="4"/>
  <c r="D16" i="4"/>
  <c r="D15" i="4"/>
  <c r="D13" i="4"/>
  <c r="D12" i="4"/>
  <c r="D11" i="4"/>
  <c r="D6" i="4"/>
  <c r="D56" i="4" a="1"/>
  <c r="D58" i="4" a="1"/>
  <c r="D18" i="4" l="1"/>
  <c r="D17" i="4"/>
  <c r="D30" i="4"/>
  <c r="D56" i="4"/>
  <c r="F9" i="4"/>
  <c r="D45" i="4"/>
  <c r="F27" i="4"/>
  <c r="D46" i="4"/>
  <c r="D41" i="4"/>
  <c r="D43" i="4"/>
  <c r="D38" i="4"/>
  <c r="D39" i="4"/>
  <c r="D40" i="4"/>
  <c r="D42" i="4"/>
  <c r="D44" i="4"/>
  <c r="D29" i="4"/>
  <c r="D36" i="4"/>
  <c r="D35" i="4"/>
  <c r="D34" i="4"/>
  <c r="D33" i="4"/>
  <c r="D32" i="4"/>
  <c r="D31" i="4"/>
  <c r="D58" i="4"/>
  <c r="D7" i="4"/>
  <c r="D5" i="4"/>
  <c r="D3" i="4"/>
  <c r="D4" i="4" s="1"/>
  <c r="D2" i="4"/>
  <c r="D87" i="4"/>
  <c r="D86" i="4"/>
  <c r="D85" i="4"/>
  <c r="D84" i="4"/>
  <c r="D83" i="4"/>
  <c r="D82" i="4"/>
  <c r="D81" i="4"/>
  <c r="D80" i="4"/>
  <c r="D79" i="4"/>
  <c r="D78" i="4"/>
  <c r="D77" i="4"/>
  <c r="D76" i="4"/>
  <c r="D74" i="4"/>
  <c r="D73" i="4"/>
  <c r="D72" i="4"/>
  <c r="D71" i="4"/>
  <c r="D60" i="4" a="1"/>
  <c r="D60" i="4" l="1"/>
  <c r="D61"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Trung Anh Nguyen</author>
  </authors>
  <commentList>
    <comment ref="D1" authorId="0" shapeId="0" xr:uid="{B9358874-0F05-4F6B-8C4C-F1DCD7288327}">
      <text>
        <r>
          <rPr>
            <b/>
            <sz val="9"/>
            <color indexed="81"/>
            <rFont val="Tahoma"/>
            <family val="2"/>
          </rPr>
          <t>Trung Anh Nguyen:</t>
        </r>
        <r>
          <rPr>
            <sz val="9"/>
            <color indexed="81"/>
            <rFont val="Tahoma"/>
            <family val="2"/>
          </rPr>
          <t xml:space="preserve">
Nếu tạo thêm Biểu mẫu mới thì bắt buộc docx_file phải khớp với tên BM trong \Templates</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<sst xmlns="http://schemas.openxmlformats.org/spreadsheetml/2006/main" count="436" uniqueCount="382">
  <si>
    <t>GENDER</t>
  </si>
  <si>
    <t>HDCT</t>
  </si>
  <si>
    <t>CIF</t>
  </si>
  <si>
    <t>K_NO</t>
  </si>
  <si>
    <t>TEL</t>
  </si>
  <si>
    <t>NAME</t>
  </si>
  <si>
    <t>ID</t>
  </si>
  <si>
    <t>PLACE_ID</t>
  </si>
  <si>
    <t>DATE_ID</t>
  </si>
  <si>
    <t>SPOUSE</t>
  </si>
  <si>
    <t>SPC_ID</t>
  </si>
  <si>
    <t>SPC_PLACE_ID</t>
  </si>
  <si>
    <t>SPC_DATE_ID</t>
  </si>
  <si>
    <t>K_DATE</t>
  </si>
  <si>
    <t>CERTNO</t>
  </si>
  <si>
    <t>CERTREF</t>
  </si>
  <si>
    <t>CERTISSUER</t>
  </si>
  <si>
    <t>CERTISSUEDATE</t>
  </si>
  <si>
    <t>Diện tích xây dựng</t>
  </si>
  <si>
    <t>Diện tích sàn</t>
  </si>
  <si>
    <t>Cấp (Hạng)</t>
  </si>
  <si>
    <t>CERT_NOTES</t>
  </si>
  <si>
    <t>Ghi chú</t>
  </si>
  <si>
    <t>Số hồ sơ</t>
  </si>
  <si>
    <t>YES</t>
  </si>
  <si>
    <t>selected</t>
  </si>
  <si>
    <t>templatecode</t>
  </si>
  <si>
    <t>description</t>
  </si>
  <si>
    <t>docx_file</t>
  </si>
  <si>
    <t>file_prefix</t>
  </si>
  <si>
    <t>Tên KH</t>
  </si>
  <si>
    <t>Số CIF</t>
  </si>
  <si>
    <t>Giới tính</t>
  </si>
  <si>
    <t>Số Định danh cá nhân/CCCD/CMND</t>
  </si>
  <si>
    <t>Nơi cấp</t>
  </si>
  <si>
    <t>Ngày cấp</t>
  </si>
  <si>
    <t>Số điện thoại</t>
  </si>
  <si>
    <t>Tình trạng hôn nhân</t>
  </si>
  <si>
    <t>Đã kết hôn</t>
  </si>
  <si>
    <t>isMarried</t>
  </si>
  <si>
    <t>Giới tính người phối ngẫu</t>
  </si>
  <si>
    <t>Ông</t>
  </si>
  <si>
    <t>Cục Cảnh sát Quản lý hành chính về trật tự xã hội</t>
  </si>
  <si>
    <t>Họ tên Vợ/Chồng</t>
  </si>
  <si>
    <t>Nguyễn Nhật Thịnh Nát</t>
  </si>
  <si>
    <t>Loại tài sản</t>
  </si>
  <si>
    <t>Số GCN</t>
  </si>
  <si>
    <t>DO 304599</t>
  </si>
  <si>
    <t>Số vào sổ cấp GCN</t>
  </si>
  <si>
    <t>VP20025</t>
  </si>
  <si>
    <t>Cơ quan cấp GCN</t>
  </si>
  <si>
    <t>Văn phòng đăng ký đất đai Hà Nội</t>
  </si>
  <si>
    <t>Ngày cấp GCN</t>
  </si>
  <si>
    <t>Thửa đất số</t>
  </si>
  <si>
    <t>Tờ bản đồ số</t>
  </si>
  <si>
    <t>ASS_OWNER</t>
  </si>
  <si>
    <t>Căn hộ chung cư số 3708</t>
  </si>
  <si>
    <t>CERTNAME</t>
  </si>
  <si>
    <t>Tên GCN</t>
  </si>
  <si>
    <t>Giấy chứng nhận quyền sử dụng đất quyền sở hữu nhà ở và tài sản khác gắn liền với đất</t>
  </si>
  <si>
    <t>Tên nhà chung cư</t>
  </si>
  <si>
    <t>Hình thức sử dụng</t>
  </si>
  <si>
    <t>Sử dụng chung</t>
  </si>
  <si>
    <t>Mục đích sử dụng</t>
  </si>
  <si>
    <t>Đất ở tại đô thị</t>
  </si>
  <si>
    <t>Thời hạn sử dụng</t>
  </si>
  <si>
    <t>Lâu dài</t>
  </si>
  <si>
    <t>Nguồn gốc sử dụng</t>
  </si>
  <si>
    <t>Nhà nước giao đất có thu tiền sử dụng đất</t>
  </si>
  <si>
    <t>Loại nhà ở</t>
  </si>
  <si>
    <t>Hình thức sở hữu</t>
  </si>
  <si>
    <t>Sở hữu riêng</t>
  </si>
  <si>
    <t>- Số tờ, số thửa và sơ đồ sẽ được điều chỉnh khi có bản đồ địa chính chính quy.
- Giấy chứng nhận này được cấp đổi từ Giấy chứng nhận quyền sử dụng đất, quyền sở hữu nhà ở và tài sản khác gắn liền với đất số DO 690791 do Chi nhánh Văn phòng đăng ký đất đai Hà Nội quận Bắc Từ Liêm cấp ngày 05/4/2024; do nhận chuyển nhượng theo Hợp đồng mua bán căn hộ chung cư số công chứng 1849 lập ngày 16/4/2024 tại Văn phòng công chứng Mỹ Đình.</t>
  </si>
  <si>
    <t>PRICE</t>
  </si>
  <si>
    <t>PRICE_IN_WORDS</t>
  </si>
  <si>
    <t>TOTAL_AMOUNT</t>
  </si>
  <si>
    <t>TOTAL_AMT_IN_WORDS</t>
  </si>
  <si>
    <t>SP_ABB</t>
  </si>
  <si>
    <t>Vợ/Chồng</t>
  </si>
  <si>
    <t>DOB</t>
  </si>
  <si>
    <t>Ngày sinh</t>
  </si>
  <si>
    <t>YOB</t>
  </si>
  <si>
    <t>Năm sinh</t>
  </si>
  <si>
    <t>PMN_CUS_ADD</t>
  </si>
  <si>
    <t>Địa chỉ thường trú Khách hàng</t>
  </si>
  <si>
    <t>SPC_DOB</t>
  </si>
  <si>
    <t>Ngày sinh vợ/chồng</t>
  </si>
  <si>
    <t>SPC_YOB</t>
  </si>
  <si>
    <t>Năm sinh vợ/chồng</t>
  </si>
  <si>
    <t>Địa chỉ thường trú Vợ/Chồng KH</t>
  </si>
  <si>
    <t>PMN_SPC_ADD</t>
  </si>
  <si>
    <t>Ngày làm hồ sơ</t>
  </si>
  <si>
    <t>K_YEAR</t>
  </si>
  <si>
    <t>Năm làm hồ sơ</t>
  </si>
  <si>
    <t>ID_TYPE</t>
  </si>
  <si>
    <t>Loại ID</t>
  </si>
  <si>
    <t>SPC_ID_TYPE</t>
  </si>
  <si>
    <t>Loại ID Vợ/Chồng</t>
  </si>
  <si>
    <t>Căn cước công dân</t>
  </si>
  <si>
    <t>Thời hạn sở hữu</t>
  </si>
  <si>
    <t>BCTS</t>
  </si>
  <si>
    <t>Báo cáo định giá giá trị tài sản</t>
  </si>
  <si>
    <t>BaoCaoDinhGiaGiaTriTaiSan.docx</t>
  </si>
  <si>
    <t>BaoCaoTaiSan</t>
  </si>
  <si>
    <t>BBDG</t>
  </si>
  <si>
    <t>Biên bản định giá</t>
  </si>
  <si>
    <t>BienBanDinhGia.docx</t>
  </si>
  <si>
    <t>BienBanDinhGia</t>
  </si>
  <si>
    <t>BBGN</t>
  </si>
  <si>
    <t>Biên bản giao nhận</t>
  </si>
  <si>
    <t>BienBanGiaoNhan.docx</t>
  </si>
  <si>
    <t>DKTC</t>
  </si>
  <si>
    <t>Đơn Đăng ký thế chấp</t>
  </si>
  <si>
    <t>DonDkyTheChap.docx</t>
  </si>
  <si>
    <t>DonDKTC</t>
  </si>
  <si>
    <t>HDTC</t>
  </si>
  <si>
    <t>HDBD</t>
  </si>
  <si>
    <t>Hợp đồng thế chấp</t>
  </si>
  <si>
    <t>HopDongTheChap.docx</t>
  </si>
  <si>
    <t>NO</t>
  </si>
  <si>
    <t>Bà Thịnh Nát và Ông Hưng Phệ</t>
  </si>
  <si>
    <t>SPC_GENDER</t>
  </si>
  <si>
    <t>Người mang tên Chủ sở hữu trên GCN</t>
  </si>
  <si>
    <t>Key</t>
  </si>
  <si>
    <t>Formatted Output</t>
  </si>
  <si>
    <t>Applicable Types</t>
  </si>
  <si>
    <t>collateral_type</t>
  </si>
  <si>
    <t>CHCC</t>
  </si>
  <si>
    <t>thua_dat_so</t>
  </si>
  <si>
    <t>to_ban_do_so</t>
  </si>
  <si>
    <t>Địa chỉ</t>
  </si>
  <si>
    <t>Diện tích</t>
  </si>
  <si>
    <t>hinh_thuc_su_dung</t>
  </si>
  <si>
    <t>muc_dich_su_dung</t>
  </si>
  <si>
    <t>thoi_han_su_dung</t>
  </si>
  <si>
    <t>nguon_goc_su_dung</t>
  </si>
  <si>
    <t>QSDĐ,QSDĐ+TSGLVĐ,CHCC</t>
  </si>
  <si>
    <t>NHÀ Ở</t>
  </si>
  <si>
    <t>THỬA ĐẤT</t>
  </si>
  <si>
    <t>loai_nha_o</t>
  </si>
  <si>
    <t>ten_nha_chung_cu</t>
  </si>
  <si>
    <t>dien_tich_xay_dung</t>
  </si>
  <si>
    <t>dien_tich_san</t>
  </si>
  <si>
    <t>hinh_thuc_so_huu</t>
  </si>
  <si>
    <t>cap_hang</t>
  </si>
  <si>
    <t>thoi_han_so_huu</t>
  </si>
  <si>
    <t>Lê Trung Hưng Phệ</t>
  </si>
  <si>
    <t>Hải Phòng city boy</t>
  </si>
  <si>
    <t>Kim Liên Quan</t>
  </si>
  <si>
    <t>dien_tich_thua_dat</t>
  </si>
  <si>
    <t>Trấn Kim Liên, Phủ Thạch Thất, Sơn Tây Tỉnh</t>
  </si>
  <si>
    <t>QSDĐ,QSDĐ+TSGLVĐ</t>
  </si>
  <si>
    <t>ghi_chu</t>
  </si>
  <si>
    <t>Số ID của Vợ/Chồng</t>
  </si>
  <si>
    <t>Diễn giải</t>
  </si>
  <si>
    <t>dia_chi_thua_dat</t>
  </si>
  <si>
    <t>asstype</t>
  </si>
  <si>
    <t>Loại Bất động sản</t>
  </si>
  <si>
    <t>area_in_words</t>
  </si>
  <si>
    <t>Diện tích thửa đất bằng chữ</t>
  </si>
  <si>
    <t>hang_muc_so_huu_chung</t>
  </si>
  <si>
    <t>Hạng mục được sở hữu chung ngoài căn hộ</t>
  </si>
  <si>
    <t>area_pledged</t>
  </si>
  <si>
    <t>Diện tích tính giá trị TSBĐ</t>
  </si>
  <si>
    <t>Đơn giá định giá (trđ)</t>
  </si>
  <si>
    <t>LƯU Ý QUAN TRỌNG</t>
  </si>
  <si>
    <t>Chọn thủ công một file nhật ký trong thư mục Logs.</t>
  </si>
  <si>
    <t>Load from History</t>
  </si>
  <si>
    <t>Xem danh sách các lần xuất gần đây → nhập số thứ tự → nhấn OK.</t>
  </si>
  <si>
    <t>Browse Export History</t>
  </si>
  <si>
    <t>Tải lại dữ liệu khách hàng cũ (tùy chọn)</t>
  </si>
  <si>
    <t>6</t>
  </si>
  <si>
    <t>Chạy lại sẽ tạo _v2, _v3 … Không bao giờ ghi đè file cũ.</t>
  </si>
  <si>
    <t>Quản lý phiên bản</t>
  </si>
  <si>
    <t>Ví dụ tên file</t>
  </si>
  <si>
    <t>Thư mục Output, phân theo năm / tháng / mã CIF của khách hàng.</t>
  </si>
  <si>
    <t>Vị trí lưu</t>
  </si>
  <si>
    <t>Tìm tài liệu đã tạo</t>
  </si>
  <si>
    <t>5</t>
  </si>
  <si>
    <t>Đọc dữ liệu nhập  →  Mở Word ngầm  →  Điền vào mẫu  →  Lưu file hoàn chỉnh</t>
  </si>
  <si>
    <t>Thao tác</t>
  </si>
  <si>
    <t>Chạy xuất tài liệu</t>
  </si>
  <si>
    <t>4</t>
  </si>
  <si>
    <t>Lưu ý</t>
  </si>
  <si>
    <t>Chọn tài liệu</t>
  </si>
  <si>
    <t>Nhấn tab 'TEMPLATES' ở phía dưới cửa sổ Excel.</t>
  </si>
  <si>
    <t>Cách mở</t>
  </si>
  <si>
    <t>Chọn tài liệu cần tạo (sheet TEMPLATES)</t>
  </si>
  <si>
    <t>3</t>
  </si>
  <si>
    <t>Tự động cập nhật theo cột C. KHÔNG chỉnh sửa.</t>
  </si>
  <si>
    <t>Cột D – Kết quả</t>
  </si>
  <si>
    <t>Nhập thông tin khách hàng vào đây. ĐÂY LÀ CỘT DUY NHẤT bạn cần điền.</t>
  </si>
  <si>
    <t>Cột C – Dữ liệu nhập  ✏</t>
  </si>
  <si>
    <t>Tên các mục thông tin (VD: CIF, Tên khách hàng…). KHÔNG chỉnh sửa.</t>
  </si>
  <si>
    <t>Cột A – Tên trường</t>
  </si>
  <si>
    <t>Nhấn tab 'INPUT' ở phía dưới cửa sổ Excel.</t>
  </si>
  <si>
    <t>Vào sheet INPUT và nhập thông tin khách hàng</t>
  </si>
  <si>
    <t>2</t>
  </si>
  <si>
    <t>CÁC BƯỚC THỰC HIỆN</t>
  </si>
  <si>
    <t>File phải ở trong thư mục gốc cùng với các thư mục: Templates · Output · Logs</t>
  </si>
  <si>
    <t>Vị trí</t>
  </si>
  <si>
    <t>EXCELUI.xlsm</t>
  </si>
  <si>
    <t>Tên file</t>
  </si>
  <si>
    <t>Mở file Excel</t>
  </si>
  <si>
    <t>1</t>
  </si>
  <si>
    <t>TRƯỚC KHI BẮT ĐẦU</t>
  </si>
  <si>
    <t>Nhanh chóng · Chính xác · Không sai sót · Lưu lịch sử tự động</t>
  </si>
  <si>
    <t>Lợi ích</t>
  </si>
  <si>
    <t>TỔNG QUAN</t>
  </si>
  <si>
    <t>REPOSITORY LAYOUT</t>
  </si>
  <si>
    <t>⚠  The .bas_files/ directory is the source of truth. After editing, re-import into EXCELUI.xlsm via VBA IDE: File → Import File.</t>
  </si>
  <si>
    <t>Path</t>
  </si>
  <si>
    <t>Purpose</t>
  </si>
  <si>
    <t>The runnable workbook. Contains embedded VBA identical to the .bas files.</t>
  </si>
  <si>
    <t>.bas_files/</t>
  </si>
  <si>
    <t>Source of truth for all VBA code. Edit here, then re-import into the workbook.</t>
  </si>
  <si>
    <t>ai/</t>
  </si>
  <si>
    <t>Templates/</t>
  </si>
  <si>
    <t>DOCX template files. Gitignored. Must exist at runtime.</t>
  </si>
  <si>
    <t>Output/</t>
  </si>
  <si>
    <t>Generated documents, organised by year/month/CIF. Gitignored.</t>
  </si>
  <si>
    <t>Logs/</t>
  </si>
  <si>
    <t>JSON and CSV audit logs. Gitignored.</t>
  </si>
  <si>
    <t>MODULE MAP</t>
  </si>
  <si>
    <t>Module</t>
  </si>
  <si>
    <t>ExportDocument.bas</t>
  </si>
  <si>
    <t>Context.bas</t>
  </si>
  <si>
    <t>Rendering.bas</t>
  </si>
  <si>
    <t>modLogging.bas</t>
  </si>
  <si>
    <t>modHistory.bas</t>
  </si>
  <si>
    <t>modShared.bas</t>
  </si>
  <si>
    <t>VnNumberWords.bas</t>
  </si>
  <si>
    <t>HELPER.bas</t>
  </si>
  <si>
    <t>CORE DATA FLOW</t>
  </si>
  <si>
    <t>TEMPLATES sheet (col A: enabled, B: code, C: description, D: docx_file, E: file_prefix)</t>
  </si>
  <si>
    <t xml:space="preserve">  └─ LoadCfgTemplates() → cfg Dictionary</t>
  </si>
  <si>
    <t>INPUT sheet (col A: key, col C: raw user input, col D: formatted output via formula)</t>
  </si>
  <si>
    <t xml:space="preserve">  └─ BuildContext() → ctx Dictionary   [reads col D only — never col C]</t>
  </si>
  <si>
    <t>For each selected template:</t>
  </si>
  <si>
    <t xml:space="preserve">  RenderTemplate(templateCfg, ctx, wb, wordApp)</t>
  </si>
  <si>
    <t xml:space="preserve">    ├─ Opens Templates/&lt;docx_file&gt; via Word COM</t>
  </si>
  <si>
    <t xml:space="preserve">    ├─ Iterates all StoryRanges (body, headers, footers, text boxes)</t>
  </si>
  <si>
    <t xml:space="preserve">    │    └─ ReplaceTokenInRange → replaces {{key}} and spacing variants</t>
  </si>
  <si>
    <t>SaveExportLog → Logs/&lt;YYYY&gt;/run_&lt;timestamp&gt;.json</t>
  </si>
  <si>
    <t xml:space="preserve">             → Logs/&lt;YYYY&gt;/export_history.csv</t>
  </si>
  <si>
    <t>ADDING A NEW DOCUMENT TEMPLATE</t>
  </si>
  <si>
    <t>Step 1</t>
  </si>
  <si>
    <t>Create the DOCX file and place it in the Templates/ folder.</t>
  </si>
  <si>
    <t>Step 2</t>
  </si>
  <si>
    <t>Use {{key}} placeholders in Word where key matches column A of the INPUT sheet.</t>
  </si>
  <si>
    <t>Step 3</t>
  </si>
  <si>
    <t>Step 4</t>
  </si>
  <si>
    <t>ADDING A NEW INPUT FIELD</t>
  </si>
  <si>
    <t>PLACEHOLDER REPLACEMENT ENGINE</t>
  </si>
  <si>
    <t>Feature</t>
  </si>
  <si>
    <t>Detail</t>
  </si>
  <si>
    <t>Format</t>
  </si>
  <si>
    <t>{{key}} where key matches column A of INPUT sheet</t>
  </si>
  <si>
    <t>Exact variants</t>
  </si>
  <si>
    <t>{{key}}  ·  {{ key }}  ·  {{key }}  ·  {{ key}}</t>
  </si>
  <si>
    <t>Spacing wildcards</t>
  </si>
  <si>
    <t>Remaining variants caught via Word wildcard Find patterns</t>
  </si>
  <si>
    <t>Long replacements</t>
  </si>
  <si>
    <t>Engine uses explicit Do While loop — avoids Word's 255-char wdReplaceAll truncation limit</t>
  </si>
  <si>
    <t>Story ranges</t>
  </si>
  <si>
    <t>Body text, headers, footers, text boxes, comments — all covered</t>
  </si>
  <si>
    <t>Numeric format</t>
  </si>
  <si>
    <t>OUTPUT FILE NAMING</t>
  </si>
  <si>
    <t>Element</t>
  </si>
  <si>
    <t>Rule</t>
  </si>
  <si>
    <t>YYYY / YYYY-MM</t>
  </si>
  <si>
    <t>&lt;CIF&gt; subfolder</t>
  </si>
  <si>
    <t>Derived from CIF context key, sanitised with MakeSafeFilename.</t>
  </si>
  <si>
    <t>_v&lt;N&gt;</t>
  </si>
  <si>
    <t>Increments from 1 until a free filename is found. Files are never overwritten.</t>
  </si>
  <si>
    <t>Filename chars</t>
  </si>
  <si>
    <t>Vietnamese diacritics stripped. Special characters replaced with underscores.</t>
  </si>
  <si>
    <t>CODING CONVENTIONS</t>
  </si>
  <si>
    <t>Option Explicit</t>
  </si>
  <si>
    <t>Required at the top of every module.</t>
  </si>
  <si>
    <t>No Select/Activate</t>
  </si>
  <si>
    <t>Always use direct object references.</t>
  </si>
  <si>
    <t>No hardcoded cells</t>
  </si>
  <si>
    <t>Detect last row with Cells(Rows.Count, "A").End(xlUp).Row</t>
  </si>
  <si>
    <t>Naming</t>
  </si>
  <si>
    <t>camelCase variables · UPPER_CASE constants · VerbNoun procedures</t>
  </si>
  <si>
    <t>Error handling</t>
  </si>
  <si>
    <t>Every public function must use: On Error GoTo ErrorHandler</t>
  </si>
  <si>
    <t>Performance</t>
  </si>
  <si>
    <t>Comments</t>
  </si>
  <si>
    <t>Every function must document its purpose, inputs, and outputs.</t>
  </si>
  <si>
    <t>File encoding</t>
  </si>
  <si>
    <t>Save all .bas files as UTF-8. VBA IDE may default to ANSI — verify before committing.</t>
  </si>
  <si>
    <t>WORD COM INTEROP NOTES</t>
  </si>
  <si>
    <t>Word instance</t>
  </si>
  <si>
    <t>Visibility</t>
  </si>
  <si>
    <t>Word always runs hidden: wordApp.Visible = False</t>
  </si>
  <si>
    <t>SaveDocumentCompat</t>
  </si>
  <si>
    <t>Tries SaveAs2 first (Word 2013+), falls back to SaveAs for older versions.</t>
  </si>
  <si>
    <t>COM constants</t>
  </si>
  <si>
    <t>LOGGING</t>
  </si>
  <si>
    <t>Artifact</t>
  </si>
  <si>
    <t>JSON file</t>
  </si>
  <si>
    <t>CSV row</t>
  </si>
  <si>
    <t>Parser approach</t>
  </si>
  <si>
    <t>HOW TO TEST A CHANGE</t>
  </si>
  <si>
    <t>⚠  There is no automated test suite. All validation is manual.</t>
  </si>
  <si>
    <t>Step</t>
  </si>
  <si>
    <t>Action</t>
  </si>
  <si>
    <t>Edit the relevant .bas file.</t>
  </si>
  <si>
    <t>Open Immediate window (Ctrl + G) and run:  ExportDocument</t>
  </si>
  <si>
    <t>Check Output/ folder — verify placeholders replaced correctly in the generated DOCX.</t>
  </si>
  <si>
    <t>Check Logs/ folder — confirm JSON and CSV entries were written.</t>
  </si>
  <si>
    <t>KNOWN CONSTRAINTS &amp; GOTCHAS</t>
  </si>
  <si>
    <t>Issue</t>
  </si>
  <si>
    <t>Explanation &amp; Fix</t>
  </si>
  <si>
    <t>255-char Word limit</t>
  </si>
  <si>
    <t>Story range chaining</t>
  </si>
  <si>
    <t>Column D read-only</t>
  </si>
  <si>
    <t>Vietnamese locale</t>
  </si>
  <si>
    <t>💡  When in doubt, trace the data flow: TEMPLATES sheet → LoadCfgTemplates → INPUT sheet → BuildContext → RenderTemplate → Logs. Every feature touches this pipeline.</t>
  </si>
  <si>
    <t>⚠  Nếu Excel hiển thị thanh cảnh báo màu vàng → nhấn 'Enable Content'. Bắt buộc để Tool hoạt động.</t>
  </si>
  <si>
    <t>Nhấn nút 'Export' trên sheet hoặc thanh Tool Excel.</t>
  </si>
  <si>
    <t>✔  Không cần mở Word trước. Tool tự quản lý.</t>
  </si>
  <si>
    <t>⚠  Sẽ ghi đè dữ liệu cột C hiện tại. Tool sẽ hỏi xác nhận trước khi thực hiện.</t>
  </si>
  <si>
    <t>All .bas files must be UTF-8. VBA IDE may default to ANSI on some systems — verify before committing.</t>
  </si>
  <si>
    <t>Use FormatVN in modShared.bas for output number formatting. Do not use VBA's Format$ with locale-sensitive patterns.</t>
  </si>
  <si>
    <t>BuildContext reads col D not col C. Col D is formula-driven. Never set col D values in VBA.</t>
  </si>
  <si>
    <t>doc.StoryRanges returns only first range per story type. Follow linked ranges via .NextStoryRange — see ApplyContextToStoryRange in Rendering.bas.</t>
  </si>
  <si>
    <t>wdReplaceAll silently truncates &gt;255 chars. Engine uses explicit Do While Find.Execute loop. Do NOT switch to wdReplaceAll.</t>
  </si>
  <si>
    <t>In VBA IDE, remove the old module and re-import the updated .bas file.</t>
  </si>
  <si>
    <t>JSON and CSV parsers in modHistory.bas are hand-rolled with no external dependencies — module stays fully self-contained.</t>
  </si>
  <si>
    <t>Appended to Logs/&lt;YYYY&gt;/export_history.csv — one row per template rendered. Used by BrowseExportHistory.</t>
  </si>
  <si>
    <t>Logs/&lt;YYYY&gt;/&lt;YYYY-MM&gt;/run_&lt;timestamp&gt;.json — full context snapshot, run metadata, output paths, error message.</t>
  </si>
  <si>
    <t>wdFormatXMLDocument, wdDoNotSaveChanges, wdCollapseEnd etc. defined in modShared.bas. Do NOT add a Word object library reference — early binding intentionally avoided.</t>
  </si>
  <si>
    <t>Reuses open Word via GetObject(, "Word.Application"). Creates new only if none found.</t>
  </si>
  <si>
    <t>Vietnamese chars in VnNumberWords.bas stored as VnText("hex;hex;"). Maintain this — keeps source ASCII-safe.</t>
  </si>
  <si>
    <t>VnText sequences</t>
  </si>
  <si>
    <t>Disable ScreenUpdating + set Calculation = xlCalculationManual for bulk ops. Re-enable in exit and error handler.</t>
  </si>
  <si>
    <t>Resolved from: date → document_date → contract_date → sign_date → created_date → today</t>
  </si>
  <si>
    <t>Output\&lt;YYYY&gt;\&lt;YYYY-MM&gt;\&lt;CIF&gt;\&lt;CIF&gt;_&lt;n&gt;_&lt;file_prefix&gt;_v&lt;N&gt;.docx</t>
  </si>
  <si>
    <t>{{key:num}} → Vietnamese-formatted number (1000000 → 1.000.000). Processed before scalar pass.</t>
  </si>
  <si>
    <t>For special formatting (e.g. currency in words), use VnNumberWords functions in col D formula.</t>
  </si>
  <si>
    <t>Use the same key name as a {{key}} placeholder in relevant DOCX templates.</t>
  </si>
  <si>
    <t>Add row to INPUT: col A = key name, col B = label, col C = blank (user fills), col D = formula.</t>
  </si>
  <si>
    <t>No code changes needed unless the template requires a new context key not yet in INPUT.</t>
  </si>
  <si>
    <t>Add a row to TEMPLATES sheet: enable flag, template code, description, filename, file prefix.</t>
  </si>
  <si>
    <t xml:space="preserve">    └─ Saves to Output/&lt;YYYY&gt;/&lt;YYYY-MM&gt;/&lt;CIF&gt;/&lt;CIF&gt;_&lt;n&gt;_&lt;prefix&gt;_v&lt;N&gt;.docx</t>
  </si>
  <si>
    <t>⚠  Column D of the INPUT sheet is formula-driven. Never set column D values in VBA. Only column C is user-editable.</t>
  </si>
  <si>
    <t>UI helpers: folder prompt, sequence number increment, button state management.</t>
  </si>
  <si>
    <t>Converts numbers to Vietnamese words. Available as worksheet functions.</t>
  </si>
  <si>
    <t>Shared utils: path building, dict helpers, Vietnamese number formatting, Word COM constants.</t>
  </si>
  <si>
    <t>Restores previous run's INPUT data from JSON log. Self-contained JSON/CSV parsers.</t>
  </si>
  <si>
    <t>Writes JSON run file and appends row to export_history.csv after each export.</t>
  </si>
  <si>
    <t>Opens each DOCX via Word COM, replaces {{key}} placeholders, saves output.</t>
  </si>
  <si>
    <t>Reads TEMPLATES sheet into config dict and INPUT sheet into context dict.</t>
  </si>
  <si>
    <t>Entry point. Orchestrates: load config → build context → render templates → write logs.</t>
  </si>
  <si>
    <t>Spec files: skill.md, vba_rules.md, ui_spec.md, docx_mapping.md, examples.md.</t>
  </si>
  <si>
    <t>WHAT THIS TOOL IS</t>
  </si>
  <si>
    <t>💡  Mỗi lần xuất được tự động ghi lại trong thư mục Logs — ngày giờ, thông tin khách hàng, danh sách tài liệu đã tạo. Không cần lưu hồ sơ riêng.</t>
  </si>
  <si>
    <t>Thời gian</t>
  </si>
  <si>
    <t>PHẦN 1 — HƯỚNG DẪN NGƯỜI DÙNG</t>
  </si>
  <si>
    <t>INSTRUCTIONS:</t>
  </si>
  <si>
    <t>🛑  Nếu xuất hiện thông báo lỗi: Nguyên nhân phổ biến: file mẫu bị thiếu trong thư mục Templates, hoặc file Excel bị di chuyển khỏi vị trí ban đầu.</t>
  </si>
  <si>
    <t>⚠ Enable VBA macros: Alt + T + O -&gt; Trust Center -&gt; Trust Center Settings -&gt; Macro Settings -&gt; Enable VBA macros (not recommended…..) -&gt; Ok</t>
  </si>
  <si>
    <t>⚠  Chỉ chỉnh sửa Cột C. Thay đổi cột A, B hoặc D chỉ khi bạn hiểu rõ mình đang làm gì.</t>
  </si>
  <si>
    <t>Điền YES vào Cột A để chọn · Để trống hoặc NO để bỏ qua</t>
  </si>
  <si>
    <t>Có thể chọn một hoặc nhiều loại tùy nhu cầu.</t>
  </si>
  <si>
    <t>Từ vài giây đến vài phút tùy số lượng mẫu và tốc độ phần cứng máy tính.</t>
  </si>
  <si>
    <t>Output\2025\2025-04\123456\123456_NGUYEN_NHAT_THINH_NAT_HopDong_v1.docx</t>
  </si>
  <si>
    <t>Làm cái tool này logic thì cũng không phải quá khó nhưng gắn key thì khá mất thời gian. Tool tạo hoàn toàn bởi Vibe Coding, cùng với Codex và Claude Code. Tôi không manual code bất kỳ dòng nào nhưng đôi khi cũng edit lại 1 số chỗ. Thanks to tech advance, it becomes feasible. Now let's get started.</t>
  </si>
  <si>
    <t>Tool này tự động điền thông tin vào Bộ hợp đồng tài sản đảm bảo. Bạn chỉ nhập dữ liệu khách hàng một lần — Tool tạo ra tất cả tài liệu Word cần thiết ngay lập tức, chính xác và không sai sót.</t>
  </si>
  <si>
    <t>This tool is a VBA-only Excel macro workbook (EXCELUI.xlsm) acting as a mail-merge engine for generating collateral contract DOCX files at BIDV VPHN. No build system, no package manager, no test runner. Everything runs inside Excel and Word via COM automation.</t>
  </si>
  <si>
    <r>
      <t xml:space="preserve">Hi guys, please visit </t>
    </r>
    <r>
      <rPr>
        <i/>
        <u/>
        <sz val="11"/>
        <color theme="0"/>
        <rFont val="Calibri"/>
        <family val="2"/>
        <scheme val="minor"/>
      </rPr>
      <t>https://github.com/trunganh1901/BCC</t>
    </r>
    <r>
      <rPr>
        <i/>
        <sz val="11"/>
        <color theme="0"/>
        <rFont val="Calibri"/>
        <family val="2"/>
        <scheme val="minor"/>
      </rPr>
      <t xml:space="preserve"> </t>
    </r>
    <r>
      <rPr>
        <sz val="11"/>
        <color theme="0"/>
        <rFont val="Calibri"/>
        <family val="2"/>
        <scheme val="minor"/>
      </rPr>
      <t>for occasional (perhaps once per months :) ) for update. Or you can clone it and continue the work. Totally open-source. If you find any issues but are not tech-proficient, contact @thinhnn / 0963856997</t>
    </r>
  </si>
  <si>
    <r>
      <rPr>
        <b/>
        <u/>
        <sz val="11"/>
        <color theme="0"/>
        <rFont val="Calibri"/>
        <family val="2"/>
        <scheme val="minor"/>
      </rPr>
      <t>Disclaimer:</t>
    </r>
    <r>
      <rPr>
        <sz val="11"/>
        <color theme="0"/>
        <rFont val="Calibri"/>
        <family val="2"/>
        <scheme val="minor"/>
      </rPr>
      <t xml:space="preserve"> Tool không bán để lấy tiền, chỉ dùng để hỗ trợ quá trình thao tác soạn thảo Hợp đồng. Mọi kết quả đầu ra phải được xem xét và phê duyệt bởi cán bộ có thẩm quyền trước khi sử dụng. Người dùng hoàn toàn chịu trách nhiệm xác minh độ chính xác của dữ liệu đầu vào và đầu ra khi chạy Tool. Tool/Tác giả không chịu bất kỳ trách nhiệm nào đối với các tổn thất, thiệt hại hoặc hậu quả pháp lý phát sinh từ việc sử dụng hoặc lạm dụng công cụ này. Mọi dữ liệu được xử lý đều có tính bảo mật cao và phải được xử lý theo đúng chính sách của BIDV và pháp luật Việt Nam hiện hành. Script này được cung cấp "nguyên trạng" và không có bảo hành. Khi bắt đầu sử dụng script này, bạn xác nhận rằng bạn là người dùng được ủy quyền và chấp nhận hoàn toàn trách nhiệm đối với tất cả các tài liệu được tạo ra.</t>
    </r>
  </si>
  <si>
    <t>PHẦN 2 — CHO AI THÍCH VỌC TIẾP. ENGLISH CHO DỄ HIỂU TERMS</t>
  </si>
  <si>
    <t>QSDĐ</t>
  </si>
  <si>
    <t>19/04/2026</t>
  </si>
  <si>
    <t>15/08/1994</t>
  </si>
  <si>
    <t>15/08/1991</t>
  </si>
  <si>
    <t>Hai mươi triệu đồng</t>
  </si>
  <si>
    <t>Hai tỷ một trăm triệu đồng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</si>
</sst>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
    <numFmt numFmtId="165" formatCode="0.0"/>
    <numFmt numFmtId="166" formatCode="0###########0"/>
    <numFmt numFmtId="167" formatCode="0000000000"/>
    <numFmt numFmtId="168" formatCode="00###########0"/>
  </numFmts>
  <fonts count="34" x14ac:knownFonts="1">
    <font>
      <sz val="11"/>
      <color theme="1"/>
      <name val="Calibri"/>
      <family val="2"/>
      <scheme val="minor"/>
    </font>
    <font>
      <u/>
      <sz val="11"/>
      <color theme="10"/>
      <name val="Calibri"/>
      <family val="2"/>
      <scheme val="minor"/>
    </font>
    <font>
      <b/>
      <sz val="11"/>
      <color theme="1"/>
      <name val="Calibri"/>
      <family val="2"/>
      <scheme val="minor"/>
    </font>
    <font>
      <b/>
      <sz val="11"/>
      <color theme="0"/>
      <name val="Calibri"/>
      <family val="2"/>
      <scheme val="minor"/>
    </font>
    <font>
      <sz val="11"/>
      <color theme="1" tint="0.34998626667073579"/>
      <name val="Calibri"/>
      <family val="2"/>
      <scheme val="minor"/>
    </font>
    <font>
      <b/>
      <sz val="11"/>
      <color theme="1" tint="0.34998626667073579"/>
      <name val="Calibri"/>
      <family val="2"/>
      <scheme val="minor"/>
    </font>
    <font>
      <i/>
      <sz val="8"/>
      <color rgb="FF888780"/>
      <name val="Arial"/>
      <family val="2"/>
    </font>
    <font>
      <sz val="10"/>
      <color rgb="FFA32D2D"/>
      <name val="Arial"/>
      <family val="2"/>
    </font>
    <font>
      <sz val="10"/>
      <color rgb="FF085041"/>
      <name val="Arial"/>
      <family val="2"/>
    </font>
    <font>
      <b/>
      <sz val="8"/>
      <color rgb="FF7F77DD"/>
      <name val="Arial"/>
      <family val="2"/>
    </font>
    <font>
      <sz val="10"/>
      <color rgb="FF2C2C2A"/>
      <name val="Arial"/>
      <family val="2"/>
    </font>
    <font>
      <sz val="10"/>
      <color rgb="FF444441"/>
      <name val="Arial"/>
      <family val="2"/>
    </font>
    <font>
      <b/>
      <sz val="12"/>
      <color rgb="FF3C3489"/>
      <name val="Arial"/>
      <family val="2"/>
    </font>
    <font>
      <sz val="9"/>
      <color rgb="FF444441"/>
      <name val="Arial"/>
      <family val="2"/>
    </font>
    <font>
      <b/>
      <sz val="10"/>
      <color rgb="FF444441"/>
      <name val="Arial"/>
      <family val="2"/>
    </font>
    <font>
      <i/>
      <sz val="10"/>
      <color rgb="FF3C3489"/>
      <name val="Arial"/>
      <family val="2"/>
    </font>
    <font>
      <b/>
      <sz val="10"/>
      <color rgb="FFFFFFFF"/>
      <name val="Arial"/>
      <family val="2"/>
    </font>
    <font>
      <sz val="9"/>
      <color rgb="FF2C2C2A"/>
      <name val="Arial"/>
      <family val="2"/>
    </font>
    <font>
      <sz val="9"/>
      <color rgb="FF1D9E75"/>
      <name val="Courier New"/>
      <family val="3"/>
    </font>
    <font>
      <sz val="10"/>
      <color rgb="FF1D9E75"/>
      <name val="Courier New"/>
      <family val="3"/>
    </font>
    <font>
      <b/>
      <sz val="13"/>
      <color rgb="FFFFFFFF"/>
      <name val="Arial"/>
      <family val="2"/>
    </font>
    <font>
      <i/>
      <sz val="10"/>
      <color rgb="FF633806"/>
      <name val="Arial"/>
      <family val="2"/>
    </font>
    <font>
      <b/>
      <sz val="11"/>
      <color rgb="FFFFFFFF"/>
      <name val="Arial"/>
      <family val="2"/>
    </font>
    <font>
      <sz val="9"/>
      <color rgb="FF2C2C2A"/>
      <name val="Courier New"/>
      <family val="3"/>
    </font>
    <font>
      <i/>
      <sz val="10"/>
      <color rgb="FF27500A"/>
      <name val="Arial"/>
      <family val="2"/>
    </font>
    <font>
      <sz val="11"/>
      <color theme="0"/>
      <name val="Calibri"/>
      <family val="2"/>
      <scheme val="minor"/>
    </font>
    <font>
      <b/>
      <sz val="16"/>
      <color theme="0"/>
      <name val="Arial"/>
      <family val="2"/>
    </font>
    <font>
      <sz val="11"/>
      <color theme="0"/>
      <name val="Arial"/>
      <family val="2"/>
    </font>
    <font>
      <sz val="9"/>
      <color theme="0"/>
      <name val="Arial"/>
      <family val="2"/>
    </font>
    <font>
      <i/>
      <u/>
      <sz val="11"/>
      <color theme="0"/>
      <name val="Calibri"/>
      <family val="2"/>
      <scheme val="minor"/>
    </font>
    <font>
      <i/>
      <sz val="11"/>
      <color theme="0"/>
      <name val="Calibri"/>
      <family val="2"/>
      <scheme val="minor"/>
    </font>
    <font>
      <b/>
      <u/>
      <sz val="11"/>
      <color theme="0"/>
      <name val="Calibri"/>
      <family val="2"/>
      <scheme val="minor"/>
    </font>
    <font>
      <sz val="9"/>
      <color indexed="81"/>
      <name val="Tahoma"/>
      <family val="2"/>
    </font>
    <font>
      <b/>
      <sz val="9"/>
      <color indexed="81"/>
      <name val="Tahoma"/>
      <family val="2"/>
    </font>
  </fonts>
  <fills count="18">
    <fill>
      <patternFill patternType="none"/>
    </fill>
    <fill>
      <patternFill patternType="gray125"/>
    </fill>
    <fill>
      <patternFill patternType="solid">
        <fgColor rgb="FF00467F"/>
        <bgColor indexed="64"/>
      </patternFill>
    </fill>
    <fill>
      <patternFill patternType="solid">
        <fgColor rgb="FF002060"/>
        <bgColor indexed="64"/>
      </patternFill>
    </fill>
    <fill>
      <patternFill patternType="solid">
        <fgColor theme="2"/>
        <bgColor indexed="64"/>
      </patternFill>
    </fill>
    <fill>
      <patternFill patternType="solid">
        <fgColor rgb="FFFFFF99"/>
        <bgColor indexed="64"/>
      </patternFill>
    </fill>
    <fill>
      <patternFill patternType="solid">
        <fgColor rgb="FFC6E0B4"/>
        <bgColor indexed="64"/>
      </patternFill>
    </fill>
    <fill>
      <patternFill patternType="solid">
        <fgColor rgb="FFD9D9D9"/>
        <bgColor indexed="64"/>
      </patternFill>
    </fill>
    <fill>
      <patternFill patternType="solid">
        <fgColor rgb="FFFFFFFF"/>
        <bgColor indexed="64"/>
      </patternFill>
    </fill>
    <fill>
      <patternFill patternType="solid">
        <fgColor rgb="FFFFFFFF"/>
      </patternFill>
    </fill>
    <fill>
      <patternFill patternType="solid">
        <fgColor rgb="FFE1F5EE"/>
      </patternFill>
    </fill>
    <fill>
      <patternFill patternType="solid">
        <fgColor rgb="FFFAEEDA"/>
      </patternFill>
    </fill>
    <fill>
      <patternFill patternType="solid">
        <fgColor rgb="FFF1EFE8"/>
      </patternFill>
    </fill>
    <fill>
      <patternFill patternType="solid">
        <fgColor rgb="FFEEEDFE"/>
      </patternFill>
    </fill>
    <fill>
      <patternFill patternType="solid">
        <fgColor rgb="FFEAF3DE"/>
      </patternFill>
    </fill>
    <fill>
      <patternFill patternType="solid">
        <fgColor rgb="FF7F77DD"/>
      </patternFill>
    </fill>
    <fill>
      <patternFill patternType="solid">
        <fgColor rgb="FFF5F4FF"/>
      </patternFill>
    </fill>
    <fill>
      <patternFill patternType="solid">
        <fgColor rgb="FFFCEBEB"/>
      </patternFill>
    </fill>
  </fills>
  <borders count="8">
    <border>
      <left/>
      <right/>
      <top/>
      <bottom/>
      <diagonal/>
    </border>
    <border>
      <left/>
      <right/>
      <top/>
      <bottom style="thin">
        <color rgb="FFC8C8C5"/>
      </bottom>
      <diagonal/>
    </border>
    <border>
      <left/>
      <right style="thin">
        <color rgb="FFC8C8C5"/>
      </right>
      <top/>
      <bottom style="thin">
        <color rgb="FFC8C8C5"/>
      </bottom>
      <diagonal/>
    </border>
    <border>
      <left style="thin">
        <color rgb="FFC8C8C5"/>
      </left>
      <right/>
      <top/>
      <bottom style="thin">
        <color rgb="FFC8C8C5"/>
      </bottom>
      <diagonal/>
    </border>
    <border>
      <left/>
      <right style="thin">
        <color rgb="FFC8C8C5"/>
      </right>
      <top style="thin">
        <color rgb="FFC8C8C5"/>
      </top>
      <bottom style="thin">
        <color rgb="FFC8C8C5"/>
      </bottom>
      <diagonal/>
    </border>
    <border>
      <left style="thin">
        <color rgb="FFC8C8C5"/>
      </left>
      <right/>
      <top style="thin">
        <color rgb="FFC8C8C5"/>
      </top>
      <bottom style="thin">
        <color rgb="FFC8C8C5"/>
      </bottom>
      <diagonal/>
    </border>
    <border>
      <left style="thin">
        <color rgb="FFC8C8C5"/>
      </left>
      <right/>
      <top/>
      <bottom/>
      <diagonal/>
    </border>
    <border>
      <left/>
      <right style="thin">
        <color rgb="FFC8C8C5"/>
      </right>
      <top/>
      <bottom/>
      <diagonal/>
    </border>
  </borders>
  <cellStyleXfs count="2">
    <xf numFmtId="0" fontId="0" fillId="0" borderId="0"/>
    <xf numFmtId="0" fontId="1" fillId="0" borderId="0" applyNumberFormat="0" applyFill="0" applyBorder="0" applyAlignment="0" applyProtection="0"/>
  </cellStyleXfs>
  <cellXfs count="96">
    <xf numFmtId="0" fontId="0" fillId="0" borderId="0" xfId="0"/>
    <xf numFmtId="14" fontId="0" fillId="0" borderId="0" xfId="0" applyNumberFormat="1"/>
    <xf numFmtId="0" fontId="0" fillId="0" borderId="0" xfId="0" applyAlignment="1">
      <alignment horizontal="right"/>
    </xf>
    <xf numFmtId="49" fontId="0" fillId="0" borderId="0" xfId="0" applyNumberFormat="1" applyAlignment="1">
      <alignment horizontal="right"/>
    </xf>
    <xf numFmtId="4" fontId="0" fillId="0" borderId="0" xfId="0" applyNumberFormat="1"/>
    <xf numFmtId="0" fontId="1" fillId="0" borderId="0" xfId="1"/>
    <xf numFmtId="0" fontId="0" fillId="0" borderId="0" xfId="0" applyAlignment="1">
      <alignment wrapText="1"/>
    </xf>
    <xf numFmtId="165" fontId="0" fillId="0" borderId="0" xfId="0" applyNumberFormat="1"/>
    <xf numFmtId="14" fontId="0" fillId="0" borderId="0" xfId="0" applyNumberFormat="1" applyAlignment="1">
      <alignment horizontal="right"/>
    </xf>
    <xf numFmtId="166" fontId="0" fillId="0" borderId="0" xfId="0" applyNumberFormat="1" applyAlignment="1">
      <alignment horizontal="right"/>
    </xf>
    <xf numFmtId="14" fontId="0" fillId="0" borderId="0" xfId="0" applyNumberFormat="1" applyAlignment="1">
      <alignment horizontal="right" wrapText="1"/>
    </xf>
    <xf numFmtId="0" fontId="3" fillId="2" borderId="0" xfId="0" applyFont="1" applyFill="1"/>
    <xf numFmtId="0" fontId="3" fillId="2" borderId="0" xfId="0" applyFont="1" applyFill="1" applyAlignment="1">
      <alignment horizontal="right"/>
    </xf>
    <xf numFmtId="0" fontId="3" fillId="3" borderId="0" xfId="0" applyFont="1" applyFill="1" applyAlignment="1">
      <alignment horizontal="center"/>
    </xf>
    <xf numFmtId="0" fontId="2" fillId="4" borderId="0" xfId="0" applyFont="1" applyFill="1"/>
    <xf numFmtId="0" fontId="0" fillId="5" borderId="0" xfId="0" applyFill="1"/>
    <xf numFmtId="0" fontId="0" fillId="5" borderId="0" xfId="0" applyFill="1" applyAlignment="1">
      <alignment horizontal="right"/>
    </xf>
    <xf numFmtId="14" fontId="0" fillId="5" borderId="0" xfId="0" applyNumberFormat="1" applyFill="1" applyAlignment="1">
      <alignment horizontal="right"/>
    </xf>
    <xf numFmtId="166" fontId="0" fillId="5" borderId="0" xfId="0" applyNumberFormat="1" applyFill="1" applyAlignment="1">
      <alignment horizontal="right"/>
    </xf>
    <xf numFmtId="0" fontId="0" fillId="5" borderId="0" xfId="0" applyFill="1" applyAlignment="1">
      <alignment horizontal="right" wrapText="1"/>
    </xf>
    <xf numFmtId="167" fontId="0" fillId="5" borderId="0" xfId="0" applyNumberFormat="1" applyFill="1" applyAlignment="1">
      <alignment horizontal="right"/>
    </xf>
    <xf numFmtId="164" fontId="0" fillId="5" borderId="0" xfId="0" applyNumberFormat="1" applyFill="1"/>
    <xf numFmtId="0" fontId="0" fillId="6" borderId="0" xfId="0" applyFill="1"/>
    <xf numFmtId="0" fontId="2" fillId="7" borderId="0" xfId="0" applyFont="1" applyFill="1"/>
    <xf numFmtId="0" fontId="0" fillId="7" borderId="0" xfId="0" applyFill="1"/>
    <xf numFmtId="0" fontId="0" fillId="8" borderId="0" xfId="0" applyFill="1"/>
    <xf numFmtId="0" fontId="0" fillId="8" borderId="0" xfId="0" applyFill="1" applyAlignment="1">
      <alignment horizontal="right"/>
    </xf>
    <xf numFmtId="0" fontId="0" fillId="6" borderId="0" xfId="0" applyFill="1" applyAlignment="1">
      <alignment wrapText="1"/>
    </xf>
    <xf numFmtId="0" fontId="0" fillId="6" borderId="0" xfId="0" applyFill="1" applyAlignment="1">
      <alignment horizontal="right" wrapText="1"/>
    </xf>
    <xf numFmtId="14" fontId="0" fillId="6" borderId="0" xfId="0" applyNumberFormat="1" applyFill="1" applyAlignment="1">
      <alignment horizontal="right"/>
    </xf>
    <xf numFmtId="14" fontId="0" fillId="6" borderId="0" xfId="0" applyNumberFormat="1" applyFill="1" applyAlignment="1">
      <alignment horizontal="right" wrapText="1"/>
    </xf>
    <xf numFmtId="0" fontId="0" fillId="6" borderId="0" xfId="0" applyFill="1" applyAlignment="1">
      <alignment horizontal="right"/>
    </xf>
    <xf numFmtId="3" fontId="0" fillId="6" borderId="0" xfId="0" applyNumberFormat="1" applyFill="1"/>
    <xf numFmtId="0" fontId="0" fillId="5" borderId="0" xfId="0" applyFill="1" applyAlignment="1">
      <alignment wrapText="1"/>
    </xf>
    <xf numFmtId="14" fontId="0" fillId="5" borderId="0" xfId="0" applyNumberFormat="1" applyFill="1" applyAlignment="1">
      <alignment horizontal="right" wrapText="1"/>
    </xf>
    <xf numFmtId="0" fontId="0" fillId="5" borderId="0" xfId="0" quotePrefix="1" applyFill="1" applyAlignment="1">
      <alignment wrapText="1"/>
    </xf>
    <xf numFmtId="3" fontId="0" fillId="5" borderId="0" xfId="0" applyNumberFormat="1" applyFill="1"/>
    <xf numFmtId="0" fontId="0" fillId="6" borderId="0" xfId="0" applyFill="1" applyAlignment="1">
      <alignment horizontal="left" wrapText="1"/>
    </xf>
    <xf numFmtId="0" fontId="4" fillId="0" borderId="0" xfId="0" applyFont="1"/>
    <xf numFmtId="0" fontId="5" fillId="4" borderId="0" xfId="0" applyFont="1" applyFill="1"/>
    <xf numFmtId="0" fontId="4" fillId="6" borderId="0" xfId="0" applyFont="1" applyFill="1"/>
    <xf numFmtId="0" fontId="5" fillId="7" borderId="0" xfId="0" applyFont="1" applyFill="1"/>
    <xf numFmtId="0" fontId="4" fillId="8" borderId="0" xfId="0" applyFont="1" applyFill="1"/>
    <xf numFmtId="0" fontId="4" fillId="7" borderId="0" xfId="0" applyFont="1" applyFill="1"/>
    <xf numFmtId="0" fontId="3" fillId="3" borderId="0" xfId="0" applyFont="1" applyFill="1" applyAlignment="1">
      <alignment horizontal="center" vertical="center"/>
    </xf>
    <xf numFmtId="0" fontId="0" fillId="0" borderId="0" xfId="0" applyAlignment="1">
      <alignment horizontal="center" vertical="center"/>
    </xf>
    <xf numFmtId="0" fontId="3" fillId="2" borderId="0" xfId="0" applyFont="1" applyFill="1" applyAlignment="1">
      <alignment horizontal="center" vertical="center"/>
    </xf>
    <xf numFmtId="0" fontId="0" fillId="6" borderId="0" xfId="0" applyFill="1" applyAlignment="1">
      <alignment horizontal="center" vertical="center"/>
    </xf>
    <xf numFmtId="0" fontId="0" fillId="7" borderId="0" xfId="0" applyFill="1" applyAlignment="1">
      <alignment horizontal="center" vertical="center"/>
    </xf>
    <xf numFmtId="0" fontId="0" fillId="8" borderId="0" xfId="0" applyFill="1" applyAlignment="1">
      <alignment horizontal="center" vertical="center"/>
    </xf>
    <xf numFmtId="0" fontId="10" fillId="9" borderId="2" xfId="0" applyFont="1" applyFill="1" applyBorder="1" applyAlignment="1">
      <alignment horizontal="left" vertical="center" wrapText="1"/>
    </xf>
    <xf numFmtId="0" fontId="14" fillId="14" borderId="3" xfId="0" applyFont="1" applyFill="1" applyBorder="1" applyAlignment="1">
      <alignment horizontal="left" vertical="center" wrapText="1"/>
    </xf>
    <xf numFmtId="0" fontId="14" fillId="12" borderId="3" xfId="0" applyFont="1" applyFill="1" applyBorder="1" applyAlignment="1">
      <alignment horizontal="left" vertical="center" wrapText="1"/>
    </xf>
    <xf numFmtId="0" fontId="0" fillId="2" borderId="0" xfId="0" applyFill="1"/>
    <xf numFmtId="0" fontId="0" fillId="9" borderId="0" xfId="0" applyFill="1"/>
    <xf numFmtId="0" fontId="16" fillId="15" borderId="5" xfId="0" applyFont="1" applyFill="1" applyBorder="1" applyAlignment="1">
      <alignment horizontal="left" vertical="center"/>
    </xf>
    <xf numFmtId="0" fontId="16" fillId="15" borderId="4" xfId="0" applyFont="1" applyFill="1" applyBorder="1" applyAlignment="1">
      <alignment horizontal="left" vertical="center"/>
    </xf>
    <xf numFmtId="0" fontId="13" fillId="12" borderId="3" xfId="0" applyFont="1" applyFill="1" applyBorder="1" applyAlignment="1">
      <alignment horizontal="left" vertical="center" wrapText="1"/>
    </xf>
    <xf numFmtId="0" fontId="17" fillId="12" borderId="2" xfId="0" applyFont="1" applyFill="1" applyBorder="1" applyAlignment="1">
      <alignment horizontal="left" vertical="center" wrapText="1"/>
    </xf>
    <xf numFmtId="0" fontId="13" fillId="9" borderId="3" xfId="0" applyFont="1" applyFill="1" applyBorder="1" applyAlignment="1">
      <alignment horizontal="left" vertical="center" wrapText="1"/>
    </xf>
    <xf numFmtId="0" fontId="17" fillId="9" borderId="2" xfId="0" applyFont="1" applyFill="1" applyBorder="1" applyAlignment="1">
      <alignment horizontal="left" vertical="center" wrapText="1"/>
    </xf>
    <xf numFmtId="0" fontId="11" fillId="12" borderId="3" xfId="0" applyFont="1" applyFill="1" applyBorder="1" applyAlignment="1">
      <alignment horizontal="left" vertical="center" wrapText="1"/>
    </xf>
    <xf numFmtId="0" fontId="23" fillId="9" borderId="2" xfId="0" applyFont="1" applyFill="1" applyBorder="1" applyAlignment="1">
      <alignment horizontal="left" vertical="center" wrapText="1"/>
    </xf>
    <xf numFmtId="0" fontId="22" fillId="2" borderId="5" xfId="0" applyFont="1" applyFill="1" applyBorder="1" applyAlignment="1">
      <alignment horizontal="center" vertical="center"/>
    </xf>
    <xf numFmtId="0" fontId="16" fillId="2" borderId="5" xfId="0" applyFont="1" applyFill="1" applyBorder="1" applyAlignment="1">
      <alignment horizontal="left" vertical="center"/>
    </xf>
    <xf numFmtId="0" fontId="16" fillId="2" borderId="4" xfId="0" applyFont="1" applyFill="1" applyBorder="1" applyAlignment="1">
      <alignment horizontal="left" vertical="center"/>
    </xf>
    <xf numFmtId="0" fontId="25" fillId="2" borderId="0" xfId="0" applyFont="1" applyFill="1"/>
    <xf numFmtId="0" fontId="3" fillId="2" borderId="0" xfId="0" applyFont="1" applyFill="1" applyAlignment="1">
      <alignment horizontal="center"/>
    </xf>
    <xf numFmtId="0" fontId="0" fillId="8" borderId="0" xfId="0" quotePrefix="1" applyFill="1"/>
    <xf numFmtId="0" fontId="6" fillId="9" borderId="0" xfId="0" applyFont="1" applyFill="1" applyAlignment="1">
      <alignment horizontal="center" vertical="center"/>
    </xf>
    <xf numFmtId="0" fontId="0" fillId="0" borderId="0" xfId="0"/>
    <xf numFmtId="0" fontId="25" fillId="2" borderId="0" xfId="0" applyFont="1" applyFill="1" applyAlignment="1">
      <alignment wrapText="1"/>
    </xf>
    <xf numFmtId="0" fontId="21" fillId="11" borderId="5" xfId="0" applyFont="1" applyFill="1" applyBorder="1" applyAlignment="1">
      <alignment horizontal="left" vertical="center" wrapText="1"/>
    </xf>
    <xf numFmtId="0" fontId="0" fillId="0" borderId="4" xfId="0" applyBorder="1"/>
    <xf numFmtId="0" fontId="12" fillId="13" borderId="4" xfId="0" applyFont="1" applyFill="1" applyBorder="1" applyAlignment="1">
      <alignment horizontal="left" vertical="center"/>
    </xf>
    <xf numFmtId="0" fontId="20" fillId="2" borderId="0" xfId="0" applyFont="1" applyFill="1" applyAlignment="1">
      <alignment horizontal="center" vertical="center"/>
    </xf>
    <xf numFmtId="0" fontId="0" fillId="2" borderId="0" xfId="0" applyFill="1"/>
    <xf numFmtId="0" fontId="9" fillId="9" borderId="1" xfId="0" applyFont="1" applyFill="1" applyBorder="1" applyAlignment="1">
      <alignment horizontal="left"/>
    </xf>
    <xf numFmtId="0" fontId="0" fillId="0" borderId="1" xfId="0" applyBorder="1"/>
    <xf numFmtId="0" fontId="18" fillId="16" borderId="6" xfId="0" applyFont="1" applyFill="1" applyBorder="1" applyAlignment="1">
      <alignment horizontal="left" vertical="center"/>
    </xf>
    <xf numFmtId="0" fontId="0" fillId="0" borderId="7" xfId="0" applyBorder="1"/>
    <xf numFmtId="0" fontId="19" fillId="16" borderId="5" xfId="0" applyFont="1" applyFill="1" applyBorder="1" applyAlignment="1">
      <alignment horizontal="left" vertical="center" wrapText="1"/>
    </xf>
    <xf numFmtId="0" fontId="8" fillId="10" borderId="5" xfId="0" applyFont="1" applyFill="1" applyBorder="1" applyAlignment="1">
      <alignment horizontal="left" vertical="center" wrapText="1"/>
    </xf>
    <xf numFmtId="0" fontId="15" fillId="13" borderId="5" xfId="0" applyFont="1" applyFill="1" applyBorder="1" applyAlignment="1">
      <alignment horizontal="left" vertical="center" wrapText="1"/>
    </xf>
    <xf numFmtId="0" fontId="26" fillId="2" borderId="0" xfId="0" applyFont="1" applyFill="1" applyAlignment="1">
      <alignment horizontal="center" vertical="center"/>
    </xf>
    <xf numFmtId="0" fontId="25" fillId="2" borderId="0" xfId="0" applyFont="1" applyFill="1"/>
    <xf numFmtId="0" fontId="13" fillId="12" borderId="3" xfId="0" applyFont="1" applyFill="1" applyBorder="1" applyAlignment="1">
      <alignment horizontal="left" vertical="center"/>
    </xf>
    <xf numFmtId="0" fontId="0" fillId="0" borderId="2" xfId="0" applyBorder="1"/>
    <xf numFmtId="0" fontId="7" fillId="17" borderId="5" xfId="0" applyFont="1" applyFill="1" applyBorder="1" applyAlignment="1">
      <alignment horizontal="left" vertical="center" wrapText="1"/>
    </xf>
    <xf numFmtId="0" fontId="25" fillId="2" borderId="0" xfId="1" applyFont="1" applyFill="1" applyAlignment="1">
      <alignment wrapText="1"/>
    </xf>
    <xf numFmtId="0" fontId="28" fillId="2" borderId="0" xfId="0" applyFont="1" applyFill="1" applyAlignment="1">
      <alignment horizontal="center" vertical="center"/>
    </xf>
    <xf numFmtId="0" fontId="27" fillId="2" borderId="0" xfId="0" applyFont="1" applyFill="1" applyAlignment="1">
      <alignment horizontal="center" vertical="center"/>
    </xf>
    <xf numFmtId="0" fontId="10" fillId="9" borderId="5" xfId="0" applyFont="1" applyFill="1" applyBorder="1" applyAlignment="1">
      <alignment horizontal="left" vertical="center" wrapText="1"/>
    </xf>
    <xf numFmtId="0" fontId="24" fillId="14" borderId="5" xfId="0" applyFont="1" applyFill="1" applyBorder="1" applyAlignment="1">
      <alignment horizontal="left" vertical="center" wrapText="1"/>
    </xf>
    <xf numFmtId="0" fontId="18" fillId="16" borderId="3" xfId="0" applyFont="1" applyFill="1" applyBorder="1" applyAlignment="1">
      <alignment horizontal="left" vertical="center"/>
    </xf>
    <xf numFmtId="168" fontId="0" fillId="5" borderId="0" xfId="0" applyNumberFormat="1" applyFill="1" applyAlignment="1">
      <alignment horizontal="right"/>
    </xf>
  </cellXfs>
  <cellStyles count="2">
    <cellStyle name="Hyperlink" xfId="1" builtinId="8"/>
    <cellStyle name="Normal" xfId="0" builtinId="0"/>
  </cellStyles>
  <dxfs count="2">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00467F"/>
      <color rgb="FFB4B4B4"/>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hyperlink" Target="#TEMPLATES!A1"/><Relationship Id="rId1" Type="http://schemas.openxmlformats.org/officeDocument/2006/relationships/hyperlink" Target="#INPUT!A1"/></Relationships>
</file>

<file path=xl/drawings/_rels/drawing2.xml.rels><?xml version="1.0" encoding="UTF-8" standalone="yes"?>
<Relationships xmlns="http://schemas.openxmlformats.org/package/2006/relationships"><Relationship Id="rId2" Type="http://schemas.openxmlformats.org/officeDocument/2006/relationships/hyperlink" Target="#TEMPLATES!A1"/><Relationship Id="rId1" Type="http://schemas.openxmlformats.org/officeDocument/2006/relationships/hyperlink" Target="#WELCOME!A1"/></Relationships>
</file>

<file path=xl/drawings/_rels/drawing3.xml.rels><?xml version="1.0" encoding="UTF-8" standalone="yes"?>
<Relationships xmlns="http://schemas.openxmlformats.org/package/2006/relationships"><Relationship Id="rId2" Type="http://schemas.openxmlformats.org/officeDocument/2006/relationships/hyperlink" Target="#INPUT!A1"/><Relationship Id="rId1" Type="http://schemas.openxmlformats.org/officeDocument/2006/relationships/hyperlink" Target="#WELCOME!A1"/></Relationships>
</file>

<file path=xl/drawings/drawing1.xml><?xml version="1.0" encoding="utf-8"?>
<xdr:wsDr xmlns:xdr="http://schemas.openxmlformats.org/drawingml/2006/spreadsheetDrawing" xmlns:a="http://schemas.openxmlformats.org/drawingml/2006/main">
  <xdr:twoCellAnchor>
    <xdr:from>
      <xdr:col>5</xdr:col>
      <xdr:colOff>342900</xdr:colOff>
      <xdr:row>1</xdr:row>
      <xdr:rowOff>200025</xdr:rowOff>
    </xdr:from>
    <xdr:to>
      <xdr:col>7</xdr:col>
      <xdr:colOff>457200</xdr:colOff>
      <xdr:row>3</xdr:row>
      <xdr:rowOff>333375</xdr:rowOff>
    </xdr:to>
    <xdr:sp macro="" textlink="">
      <xdr:nvSpPr>
        <xdr:cNvPr id="2" name="TextBox 1">
          <a:hlinkClick xmlns:r="http://schemas.openxmlformats.org/officeDocument/2006/relationships" r:id="rId1"/>
          <a:extLst>
            <a:ext uri="{FF2B5EF4-FFF2-40B4-BE49-F238E27FC236}">
              <a16:creationId xmlns:a16="http://schemas.microsoft.com/office/drawing/2014/main" id="{4919FA95-1F25-B87F-7913-15566E7ADB16}"/>
            </a:ext>
          </a:extLst>
        </xdr:cNvPr>
        <xdr:cNvSpPr txBox="1"/>
      </xdr:nvSpPr>
      <xdr:spPr>
        <a:xfrm>
          <a:off x="7219950" y="295275"/>
          <a:ext cx="1333500" cy="495300"/>
        </a:xfrm>
        <a:prstGeom prst="rect">
          <a:avLst/>
        </a:prstGeom>
        <a:solidFill>
          <a:schemeClr val="accent6">
            <a:lumMod val="7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b="1">
              <a:solidFill>
                <a:schemeClr val="bg1"/>
              </a:solidFill>
            </a:rPr>
            <a:t>Go</a:t>
          </a:r>
          <a:r>
            <a:rPr lang="en-GB" sz="1100" b="1" baseline="0">
              <a:solidFill>
                <a:schemeClr val="bg1"/>
              </a:solidFill>
            </a:rPr>
            <a:t> to INPUT sheet</a:t>
          </a:r>
        </a:p>
      </xdr:txBody>
    </xdr:sp>
    <xdr:clientData/>
  </xdr:twoCellAnchor>
  <xdr:twoCellAnchor>
    <xdr:from>
      <xdr:col>8</xdr:col>
      <xdr:colOff>66675</xdr:colOff>
      <xdr:row>1</xdr:row>
      <xdr:rowOff>200025</xdr:rowOff>
    </xdr:from>
    <xdr:to>
      <xdr:col>10</xdr:col>
      <xdr:colOff>180975</xdr:colOff>
      <xdr:row>3</xdr:row>
      <xdr:rowOff>333375</xdr:rowOff>
    </xdr:to>
    <xdr:sp macro="" textlink="">
      <xdr:nvSpPr>
        <xdr:cNvPr id="3" name="TextBox 2">
          <a:hlinkClick xmlns:r="http://schemas.openxmlformats.org/officeDocument/2006/relationships" r:id="rId2"/>
          <a:extLst>
            <a:ext uri="{FF2B5EF4-FFF2-40B4-BE49-F238E27FC236}">
              <a16:creationId xmlns:a16="http://schemas.microsoft.com/office/drawing/2014/main" id="{4DF36F06-8CB3-42BC-873B-21950D4022E3}"/>
            </a:ext>
          </a:extLst>
        </xdr:cNvPr>
        <xdr:cNvSpPr txBox="1"/>
      </xdr:nvSpPr>
      <xdr:spPr>
        <a:xfrm>
          <a:off x="8772525" y="295275"/>
          <a:ext cx="1333500" cy="495300"/>
        </a:xfrm>
        <a:prstGeom prst="rect">
          <a:avLst/>
        </a:prstGeom>
        <a:solidFill>
          <a:schemeClr val="accent6">
            <a:lumMod val="7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b="1">
              <a:solidFill>
                <a:schemeClr val="bg1"/>
              </a:solidFill>
            </a:rPr>
            <a:t>Go</a:t>
          </a:r>
          <a:r>
            <a:rPr lang="en-GB" sz="1100" b="1" baseline="0">
              <a:solidFill>
                <a:schemeClr val="bg1"/>
              </a:solidFill>
            </a:rPr>
            <a:t> to TEMPLATES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1720664</xdr:colOff>
      <xdr:row>0</xdr:row>
      <xdr:rowOff>198905</xdr:rowOff>
    </xdr:from>
    <xdr:to>
      <xdr:col>2</xdr:col>
      <xdr:colOff>152401</xdr:colOff>
      <xdr:row>0</xdr:row>
      <xdr:rowOff>591111</xdr:rowOff>
    </xdr:to>
    <xdr:sp macro="" textlink="">
      <xdr:nvSpPr>
        <xdr:cNvPr id="2" name="TextBox 1">
          <a:hlinkClick xmlns:r="http://schemas.openxmlformats.org/officeDocument/2006/relationships" r:id="rId1"/>
          <a:extLst>
            <a:ext uri="{FF2B5EF4-FFF2-40B4-BE49-F238E27FC236}">
              <a16:creationId xmlns:a16="http://schemas.microsoft.com/office/drawing/2014/main" id="{7FAA6665-B4A3-E78D-28C8-0911407B524A}"/>
            </a:ext>
          </a:extLst>
        </xdr:cNvPr>
        <xdr:cNvSpPr txBox="1"/>
      </xdr:nvSpPr>
      <xdr:spPr>
        <a:xfrm>
          <a:off x="3463739" y="198905"/>
          <a:ext cx="1355912" cy="392206"/>
        </a:xfrm>
        <a:prstGeom prst="rect">
          <a:avLst/>
        </a:prstGeom>
        <a:solidFill>
          <a:schemeClr val="accent6">
            <a:lumMod val="7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b="1">
              <a:solidFill>
                <a:schemeClr val="bg1"/>
              </a:solidFill>
            </a:rPr>
            <a:t>Back to Home Page</a:t>
          </a:r>
        </a:p>
      </xdr:txBody>
    </xdr:sp>
    <xdr:clientData/>
  </xdr:twoCellAnchor>
  <xdr:twoCellAnchor>
    <xdr:from>
      <xdr:col>2</xdr:col>
      <xdr:colOff>416859</xdr:colOff>
      <xdr:row>0</xdr:row>
      <xdr:rowOff>198905</xdr:rowOff>
    </xdr:from>
    <xdr:to>
      <xdr:col>2</xdr:col>
      <xdr:colOff>1773331</xdr:colOff>
      <xdr:row>0</xdr:row>
      <xdr:rowOff>591111</xdr:rowOff>
    </xdr:to>
    <xdr:sp macro="" textlink="">
      <xdr:nvSpPr>
        <xdr:cNvPr id="3" name="TextBox 2">
          <a:hlinkClick xmlns:r="http://schemas.openxmlformats.org/officeDocument/2006/relationships" r:id="rId2"/>
          <a:extLst>
            <a:ext uri="{FF2B5EF4-FFF2-40B4-BE49-F238E27FC236}">
              <a16:creationId xmlns:a16="http://schemas.microsoft.com/office/drawing/2014/main" id="{989BD565-7E65-4259-8AB4-AF33C0DE65D3}"/>
            </a:ext>
          </a:extLst>
        </xdr:cNvPr>
        <xdr:cNvSpPr txBox="1"/>
      </xdr:nvSpPr>
      <xdr:spPr>
        <a:xfrm>
          <a:off x="5084109" y="198905"/>
          <a:ext cx="1356472" cy="392206"/>
        </a:xfrm>
        <a:prstGeom prst="rect">
          <a:avLst/>
        </a:prstGeom>
        <a:solidFill>
          <a:schemeClr val="accent6">
            <a:lumMod val="7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b="1">
              <a:solidFill>
                <a:schemeClr val="bg1"/>
              </a:solidFill>
            </a:rPr>
            <a:t>Go to Export</a:t>
          </a:r>
          <a:r>
            <a:rPr lang="en-GB" sz="1100" b="1" baseline="0">
              <a:solidFill>
                <a:schemeClr val="bg1"/>
              </a:solidFill>
            </a:rPr>
            <a:t> Sheet</a:t>
          </a:r>
          <a:endParaRPr lang="en-GB" sz="1100" b="1">
            <a:solidFill>
              <a:schemeClr val="bg1"/>
            </a:solidFill>
          </a:endParaRPr>
        </a:p>
      </xdr:txBody>
    </xdr:sp>
    <xdr:clientData/>
  </xdr:twoCellAnchor>
  <xdr:twoCellAnchor>
    <xdr:from>
      <xdr:col>2</xdr:col>
      <xdr:colOff>3979209</xdr:colOff>
      <xdr:row>0</xdr:row>
      <xdr:rowOff>198905</xdr:rowOff>
    </xdr:from>
    <xdr:to>
      <xdr:col>3</xdr:col>
      <xdr:colOff>820831</xdr:colOff>
      <xdr:row>0</xdr:row>
      <xdr:rowOff>591111</xdr:rowOff>
    </xdr:to>
    <xdr:sp macro="[0]!BrowseExportHistory" textlink="">
      <xdr:nvSpPr>
        <xdr:cNvPr id="6" name="TextBox 5">
          <a:extLst>
            <a:ext uri="{FF2B5EF4-FFF2-40B4-BE49-F238E27FC236}">
              <a16:creationId xmlns:a16="http://schemas.microsoft.com/office/drawing/2014/main" id="{F5FF8084-2F9E-4BB5-B970-984D87232FF8}"/>
            </a:ext>
          </a:extLst>
        </xdr:cNvPr>
        <xdr:cNvSpPr txBox="1"/>
      </xdr:nvSpPr>
      <xdr:spPr>
        <a:xfrm>
          <a:off x="8646459" y="198905"/>
          <a:ext cx="1356472" cy="392206"/>
        </a:xfrm>
        <a:prstGeom prst="rect">
          <a:avLst/>
        </a:prstGeom>
        <a:solidFill>
          <a:schemeClr val="accent6">
            <a:lumMod val="7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b="1">
              <a:solidFill>
                <a:schemeClr val="bg1"/>
              </a:solidFill>
            </a:rPr>
            <a:t>Browse</a:t>
          </a:r>
          <a:r>
            <a:rPr lang="en-GB" sz="1100" b="1" baseline="0">
              <a:solidFill>
                <a:schemeClr val="bg1"/>
              </a:solidFill>
            </a:rPr>
            <a:t> History</a:t>
          </a:r>
          <a:endParaRPr lang="en-GB" sz="1100" b="1">
            <a:solidFill>
              <a:schemeClr val="bg1"/>
            </a:solidFill>
          </a:endParaRPr>
        </a:p>
      </xdr:txBody>
    </xdr:sp>
    <xdr:clientData/>
  </xdr:twoCellAnchor>
  <xdr:twoCellAnchor>
    <xdr:from>
      <xdr:col>3</xdr:col>
      <xdr:colOff>1083609</xdr:colOff>
      <xdr:row>0</xdr:row>
      <xdr:rowOff>198905</xdr:rowOff>
    </xdr:from>
    <xdr:to>
      <xdr:col>3</xdr:col>
      <xdr:colOff>2440081</xdr:colOff>
      <xdr:row>0</xdr:row>
      <xdr:rowOff>591111</xdr:rowOff>
    </xdr:to>
    <xdr:sp macro="[0]!LoadFromHistory" textlink="">
      <xdr:nvSpPr>
        <xdr:cNvPr id="7" name="TextBox 6">
          <a:extLst>
            <a:ext uri="{FF2B5EF4-FFF2-40B4-BE49-F238E27FC236}">
              <a16:creationId xmlns:a16="http://schemas.microsoft.com/office/drawing/2014/main" id="{51DBE164-6E23-497A-8D82-1D08291806F6}"/>
            </a:ext>
          </a:extLst>
        </xdr:cNvPr>
        <xdr:cNvSpPr txBox="1"/>
      </xdr:nvSpPr>
      <xdr:spPr>
        <a:xfrm>
          <a:off x="10265709" y="198905"/>
          <a:ext cx="1356472" cy="392206"/>
        </a:xfrm>
        <a:prstGeom prst="rect">
          <a:avLst/>
        </a:prstGeom>
        <a:solidFill>
          <a:schemeClr val="accent6">
            <a:lumMod val="7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b="1">
              <a:solidFill>
                <a:schemeClr val="bg1"/>
              </a:solidFill>
            </a:rPr>
            <a:t>Load from History</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479534</xdr:colOff>
      <xdr:row>1</xdr:row>
      <xdr:rowOff>183931</xdr:rowOff>
    </xdr:from>
    <xdr:to>
      <xdr:col>7</xdr:col>
      <xdr:colOff>505809</xdr:colOff>
      <xdr:row>4</xdr:row>
      <xdr:rowOff>65690</xdr:rowOff>
    </xdr:to>
    <xdr:sp macro="[0]!RunExportDocument" textlink="">
      <xdr:nvSpPr>
        <xdr:cNvPr id="2" name="TextBox 1">
          <a:extLst>
            <a:ext uri="{FF2B5EF4-FFF2-40B4-BE49-F238E27FC236}">
              <a16:creationId xmlns:a16="http://schemas.microsoft.com/office/drawing/2014/main" id="{D5ECF80F-9145-CF51-F276-D51957804F4E}"/>
            </a:ext>
          </a:extLst>
        </xdr:cNvPr>
        <xdr:cNvSpPr txBox="1"/>
      </xdr:nvSpPr>
      <xdr:spPr>
        <a:xfrm>
          <a:off x="7120758" y="374431"/>
          <a:ext cx="1248103" cy="453259"/>
        </a:xfrm>
        <a:prstGeom prst="rect">
          <a:avLst/>
        </a:prstGeom>
        <a:solidFill>
          <a:schemeClr val="accent6">
            <a:lumMod val="7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b="1">
              <a:solidFill>
                <a:schemeClr val="bg1"/>
              </a:solidFill>
            </a:rPr>
            <a:t>Export</a:t>
          </a:r>
        </a:p>
      </xdr:txBody>
    </xdr:sp>
    <xdr:clientData/>
  </xdr:twoCellAnchor>
  <xdr:twoCellAnchor>
    <xdr:from>
      <xdr:col>5</xdr:col>
      <xdr:colOff>282466</xdr:colOff>
      <xdr:row>0</xdr:row>
      <xdr:rowOff>52552</xdr:rowOff>
    </xdr:from>
    <xdr:to>
      <xdr:col>8</xdr:col>
      <xdr:colOff>144517</xdr:colOff>
      <xdr:row>1</xdr:row>
      <xdr:rowOff>118242</xdr:rowOff>
    </xdr:to>
    <xdr:sp macro="" textlink="">
      <xdr:nvSpPr>
        <xdr:cNvPr id="3" name="TextBox 2">
          <a:hlinkClick xmlns:r="http://schemas.openxmlformats.org/officeDocument/2006/relationships" r:id="rId1"/>
          <a:extLst>
            <a:ext uri="{FF2B5EF4-FFF2-40B4-BE49-F238E27FC236}">
              <a16:creationId xmlns:a16="http://schemas.microsoft.com/office/drawing/2014/main" id="{C1615E78-0B75-D47C-A4D7-E182A9CD9935}"/>
            </a:ext>
          </a:extLst>
        </xdr:cNvPr>
        <xdr:cNvSpPr txBox="1"/>
      </xdr:nvSpPr>
      <xdr:spPr>
        <a:xfrm>
          <a:off x="6923690" y="52552"/>
          <a:ext cx="1694793" cy="256190"/>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b="1"/>
            <a:t>Back</a:t>
          </a:r>
          <a:r>
            <a:rPr lang="en-GB" sz="1100" b="1" baseline="0"/>
            <a:t> to Home Page</a:t>
          </a:r>
        </a:p>
      </xdr:txBody>
    </xdr:sp>
    <xdr:clientData/>
  </xdr:twoCellAnchor>
  <xdr:twoCellAnchor>
    <xdr:from>
      <xdr:col>8</xdr:col>
      <xdr:colOff>257503</xdr:colOff>
      <xdr:row>0</xdr:row>
      <xdr:rowOff>53866</xdr:rowOff>
    </xdr:from>
    <xdr:to>
      <xdr:col>11</xdr:col>
      <xdr:colOff>119555</xdr:colOff>
      <xdr:row>1</xdr:row>
      <xdr:rowOff>119556</xdr:rowOff>
    </xdr:to>
    <xdr:sp macro="" textlink="">
      <xdr:nvSpPr>
        <xdr:cNvPr id="5" name="TextBox 4">
          <a:hlinkClick xmlns:r="http://schemas.openxmlformats.org/officeDocument/2006/relationships" r:id="rId2"/>
          <a:extLst>
            <a:ext uri="{FF2B5EF4-FFF2-40B4-BE49-F238E27FC236}">
              <a16:creationId xmlns:a16="http://schemas.microsoft.com/office/drawing/2014/main" id="{EA44B331-C46C-4F91-B1FA-46F6BCBA9C7E}"/>
            </a:ext>
          </a:extLst>
        </xdr:cNvPr>
        <xdr:cNvSpPr txBox="1"/>
      </xdr:nvSpPr>
      <xdr:spPr>
        <a:xfrm>
          <a:off x="8731469" y="53866"/>
          <a:ext cx="1694793" cy="256190"/>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b="1"/>
            <a:t>Go to INPUT sheet</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github.com/trunganh1901/BCC"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97C91A-D53F-4336-A871-1089BA1A23E0}">
  <sheetPr codeName="Sheet2"/>
  <dimension ref="A1:D189"/>
  <sheetViews>
    <sheetView showGridLines="0" tabSelected="1" workbookViewId="0">
      <pane ySplit="4" topLeftCell="A166" activePane="bottomLeft" state="frozen"/>
      <selection pane="bottomLeft" activeCell="C40" sqref="C40"/>
    </sheetView>
  </sheetViews>
  <sheetFormatPr defaultRowHeight="15" x14ac:dyDescent="0.25"/>
  <cols>
    <col min="1" max="1" width="2" customWidth="1"/>
    <col min="2" max="2" width="28" customWidth="1"/>
    <col min="3" max="3" width="62" customWidth="1"/>
    <col min="4" max="4" width="2" customWidth="1"/>
  </cols>
  <sheetData>
    <row r="1" spans="1:4" ht="8.1" customHeight="1" x14ac:dyDescent="0.25">
      <c r="A1" s="66"/>
      <c r="B1" s="66"/>
      <c r="C1" s="66"/>
      <c r="D1" s="66"/>
    </row>
    <row r="2" spans="1:4" ht="20.25" x14ac:dyDescent="0.25">
      <c r="A2" s="66"/>
      <c r="B2" s="84" t="s">
        <v>362</v>
      </c>
      <c r="C2" s="85"/>
      <c r="D2" s="66"/>
    </row>
    <row r="3" spans="1:4" ht="8.25" customHeight="1" x14ac:dyDescent="0.25">
      <c r="A3" s="66"/>
      <c r="B3" s="91"/>
      <c r="C3" s="85"/>
      <c r="D3" s="66"/>
    </row>
    <row r="4" spans="1:4" ht="44.25" customHeight="1" x14ac:dyDescent="0.25">
      <c r="A4" s="66"/>
      <c r="B4" s="89" t="s">
        <v>373</v>
      </c>
      <c r="C4" s="89"/>
      <c r="D4" s="66"/>
    </row>
    <row r="5" spans="1:4" ht="5.25" customHeight="1" x14ac:dyDescent="0.25">
      <c r="A5" s="66"/>
      <c r="B5" s="90"/>
      <c r="C5" s="85"/>
      <c r="D5" s="66"/>
    </row>
    <row r="6" spans="1:4" ht="47.25" customHeight="1" x14ac:dyDescent="0.25">
      <c r="A6" s="66"/>
      <c r="B6" s="71" t="s">
        <v>370</v>
      </c>
      <c r="C6" s="71"/>
      <c r="D6" s="66"/>
    </row>
    <row r="7" spans="1:4" ht="131.25" customHeight="1" x14ac:dyDescent="0.25">
      <c r="A7" s="66"/>
      <c r="B7" s="71" t="s">
        <v>374</v>
      </c>
      <c r="C7" s="71"/>
      <c r="D7" s="71"/>
    </row>
    <row r="8" spans="1:4" ht="15" customHeight="1" x14ac:dyDescent="0.25">
      <c r="A8" s="66"/>
      <c r="B8" s="66"/>
      <c r="C8" s="66"/>
      <c r="D8" s="66"/>
    </row>
    <row r="9" spans="1:4" ht="5.0999999999999996" customHeight="1" x14ac:dyDescent="0.25">
      <c r="A9" s="54"/>
      <c r="B9" s="54"/>
      <c r="C9" s="54"/>
      <c r="D9" s="54"/>
    </row>
    <row r="10" spans="1:4" ht="5.0999999999999996" customHeight="1" x14ac:dyDescent="0.25">
      <c r="A10" s="54"/>
      <c r="B10" s="54"/>
      <c r="C10" s="54"/>
      <c r="D10" s="54"/>
    </row>
    <row r="11" spans="1:4" ht="8.1" customHeight="1" x14ac:dyDescent="0.25">
      <c r="A11" s="53"/>
      <c r="B11" s="53"/>
      <c r="C11" s="53"/>
      <c r="D11" s="53"/>
    </row>
    <row r="12" spans="1:4" ht="30" customHeight="1" x14ac:dyDescent="0.25">
      <c r="A12" s="53"/>
      <c r="B12" s="75" t="s">
        <v>361</v>
      </c>
      <c r="C12" s="76"/>
      <c r="D12" s="53"/>
    </row>
    <row r="13" spans="1:4" ht="8.1" customHeight="1" x14ac:dyDescent="0.25">
      <c r="A13" s="53"/>
      <c r="B13" s="53"/>
      <c r="C13" s="53"/>
      <c r="D13" s="53"/>
    </row>
    <row r="14" spans="1:4" ht="5.0999999999999996" customHeight="1" x14ac:dyDescent="0.25">
      <c r="A14" s="54"/>
      <c r="B14" s="54"/>
      <c r="C14" s="54"/>
      <c r="D14" s="54"/>
    </row>
    <row r="15" spans="1:4" ht="5.0999999999999996" customHeight="1" x14ac:dyDescent="0.25">
      <c r="A15" s="54"/>
      <c r="B15" s="54"/>
      <c r="C15" s="54"/>
      <c r="D15" s="54"/>
    </row>
    <row r="16" spans="1:4" ht="21.95" customHeight="1" x14ac:dyDescent="0.25">
      <c r="A16" s="54"/>
      <c r="B16" s="77" t="s">
        <v>208</v>
      </c>
      <c r="C16" s="78"/>
      <c r="D16" s="54"/>
    </row>
    <row r="17" spans="1:4" ht="48" customHeight="1" x14ac:dyDescent="0.25">
      <c r="B17" s="92" t="s">
        <v>371</v>
      </c>
      <c r="C17" s="73"/>
    </row>
    <row r="18" spans="1:4" ht="26.1" customHeight="1" x14ac:dyDescent="0.25">
      <c r="B18" s="61" t="s">
        <v>207</v>
      </c>
      <c r="C18" s="50" t="s">
        <v>206</v>
      </c>
    </row>
    <row r="19" spans="1:4" ht="5.0999999999999996" customHeight="1" x14ac:dyDescent="0.25">
      <c r="A19" s="54"/>
      <c r="B19" s="54"/>
      <c r="C19" s="54"/>
      <c r="D19" s="54"/>
    </row>
    <row r="20" spans="1:4" ht="21.95" customHeight="1" x14ac:dyDescent="0.25">
      <c r="A20" s="54"/>
      <c r="B20" s="77" t="s">
        <v>205</v>
      </c>
      <c r="C20" s="78"/>
      <c r="D20" s="54"/>
    </row>
    <row r="21" spans="1:4" ht="5.0999999999999996" customHeight="1" x14ac:dyDescent="0.25">
      <c r="A21" s="54"/>
      <c r="B21" s="54"/>
      <c r="C21" s="54"/>
      <c r="D21" s="54"/>
    </row>
    <row r="22" spans="1:4" ht="27.95" customHeight="1" x14ac:dyDescent="0.25">
      <c r="A22" s="54"/>
      <c r="B22" s="63" t="s">
        <v>204</v>
      </c>
      <c r="C22" s="74" t="s">
        <v>203</v>
      </c>
      <c r="D22" s="54"/>
    </row>
    <row r="23" spans="1:4" ht="26.1" customHeight="1" x14ac:dyDescent="0.25">
      <c r="B23" s="52" t="s">
        <v>202</v>
      </c>
      <c r="C23" s="50" t="s">
        <v>201</v>
      </c>
    </row>
    <row r="24" spans="1:4" ht="30" customHeight="1" x14ac:dyDescent="0.25">
      <c r="B24" s="61" t="s">
        <v>200</v>
      </c>
      <c r="C24" s="50" t="s">
        <v>199</v>
      </c>
    </row>
    <row r="25" spans="1:4" ht="33.950000000000003" customHeight="1" x14ac:dyDescent="0.25">
      <c r="B25" s="72" t="s">
        <v>321</v>
      </c>
      <c r="C25" s="73"/>
    </row>
    <row r="26" spans="1:4" ht="5.0999999999999996" customHeight="1" x14ac:dyDescent="0.25">
      <c r="A26" s="54"/>
      <c r="B26" s="54"/>
      <c r="C26" s="54"/>
      <c r="D26" s="54"/>
    </row>
    <row r="27" spans="1:4" ht="32.25" customHeight="1" x14ac:dyDescent="0.25">
      <c r="A27" s="54"/>
      <c r="B27" s="72" t="s">
        <v>364</v>
      </c>
      <c r="C27" s="73"/>
      <c r="D27" s="54"/>
    </row>
    <row r="28" spans="1:4" ht="21.95" customHeight="1" x14ac:dyDescent="0.25">
      <c r="A28" s="54"/>
      <c r="B28" s="77" t="s">
        <v>198</v>
      </c>
      <c r="C28" s="78"/>
      <c r="D28" s="54"/>
    </row>
    <row r="29" spans="1:4" ht="5.0999999999999996" customHeight="1" x14ac:dyDescent="0.25">
      <c r="A29" s="54"/>
      <c r="B29" s="54"/>
      <c r="C29" s="54"/>
      <c r="D29" s="54"/>
    </row>
    <row r="30" spans="1:4" ht="27.95" customHeight="1" x14ac:dyDescent="0.25">
      <c r="A30" s="54"/>
      <c r="B30" s="63" t="s">
        <v>197</v>
      </c>
      <c r="C30" s="74" t="s">
        <v>196</v>
      </c>
      <c r="D30" s="54"/>
    </row>
    <row r="31" spans="1:4" ht="26.1" customHeight="1" x14ac:dyDescent="0.25">
      <c r="B31" s="61" t="s">
        <v>186</v>
      </c>
      <c r="C31" s="50" t="s">
        <v>195</v>
      </c>
    </row>
    <row r="32" spans="1:4" ht="30" customHeight="1" x14ac:dyDescent="0.25">
      <c r="B32" s="61" t="s">
        <v>194</v>
      </c>
      <c r="C32" s="50" t="s">
        <v>193</v>
      </c>
    </row>
    <row r="33" spans="1:4" ht="30" customHeight="1" x14ac:dyDescent="0.25">
      <c r="B33" s="51" t="s">
        <v>192</v>
      </c>
      <c r="C33" s="50" t="s">
        <v>191</v>
      </c>
    </row>
    <row r="34" spans="1:4" ht="26.1" customHeight="1" x14ac:dyDescent="0.25">
      <c r="B34" s="61" t="s">
        <v>190</v>
      </c>
      <c r="C34" s="50" t="s">
        <v>189</v>
      </c>
    </row>
    <row r="35" spans="1:4" ht="32.1" customHeight="1" x14ac:dyDescent="0.25">
      <c r="B35" s="72" t="s">
        <v>365</v>
      </c>
      <c r="C35" s="73"/>
    </row>
    <row r="36" spans="1:4" ht="5.0999999999999996" customHeight="1" x14ac:dyDescent="0.25">
      <c r="A36" s="54"/>
      <c r="B36" s="54"/>
      <c r="C36" s="54"/>
      <c r="D36" s="54"/>
    </row>
    <row r="37" spans="1:4" ht="27.95" customHeight="1" x14ac:dyDescent="0.25">
      <c r="A37" s="54"/>
      <c r="B37" s="63" t="s">
        <v>188</v>
      </c>
      <c r="C37" s="74" t="s">
        <v>187</v>
      </c>
      <c r="D37" s="54"/>
    </row>
    <row r="38" spans="1:4" ht="26.1" customHeight="1" x14ac:dyDescent="0.25">
      <c r="B38" s="61" t="s">
        <v>186</v>
      </c>
      <c r="C38" s="50" t="s">
        <v>185</v>
      </c>
    </row>
    <row r="39" spans="1:4" ht="27.95" customHeight="1" x14ac:dyDescent="0.25">
      <c r="B39" s="61" t="s">
        <v>184</v>
      </c>
      <c r="C39" s="50" t="s">
        <v>366</v>
      </c>
    </row>
    <row r="40" spans="1:4" ht="27.95" customHeight="1" x14ac:dyDescent="0.25">
      <c r="B40" s="61" t="s">
        <v>183</v>
      </c>
      <c r="C40" s="50" t="s">
        <v>367</v>
      </c>
    </row>
    <row r="41" spans="1:4" ht="5.0999999999999996" customHeight="1" x14ac:dyDescent="0.25">
      <c r="A41" s="54"/>
      <c r="B41" s="54"/>
      <c r="C41" s="54"/>
      <c r="D41" s="54"/>
    </row>
    <row r="42" spans="1:4" ht="27.95" customHeight="1" x14ac:dyDescent="0.25">
      <c r="A42" s="54"/>
      <c r="B42" s="63" t="s">
        <v>182</v>
      </c>
      <c r="C42" s="74" t="s">
        <v>181</v>
      </c>
      <c r="D42" s="54"/>
    </row>
    <row r="43" spans="1:4" ht="26.1" customHeight="1" x14ac:dyDescent="0.25">
      <c r="B43" s="61" t="s">
        <v>180</v>
      </c>
      <c r="C43" s="50" t="s">
        <v>322</v>
      </c>
    </row>
    <row r="44" spans="1:4" ht="27.95" customHeight="1" x14ac:dyDescent="0.25">
      <c r="B44" s="86" t="s">
        <v>179</v>
      </c>
      <c r="C44" s="87"/>
    </row>
    <row r="45" spans="1:4" ht="27.95" customHeight="1" x14ac:dyDescent="0.25">
      <c r="B45" s="61" t="s">
        <v>360</v>
      </c>
      <c r="C45" s="50" t="s">
        <v>368</v>
      </c>
    </row>
    <row r="46" spans="1:4" ht="27.95" customHeight="1" x14ac:dyDescent="0.25">
      <c r="B46" s="93" t="s">
        <v>323</v>
      </c>
      <c r="C46" s="73"/>
    </row>
    <row r="47" spans="1:4" ht="5.0999999999999996" customHeight="1" x14ac:dyDescent="0.25">
      <c r="A47" s="54"/>
      <c r="B47" s="54"/>
      <c r="C47" s="54"/>
      <c r="D47" s="54"/>
    </row>
    <row r="48" spans="1:4" ht="27.95" customHeight="1" x14ac:dyDescent="0.25">
      <c r="A48" s="54"/>
      <c r="B48" s="63" t="s">
        <v>178</v>
      </c>
      <c r="C48" s="74" t="s">
        <v>177</v>
      </c>
      <c r="D48" s="54"/>
    </row>
    <row r="49" spans="1:4" ht="27.95" customHeight="1" x14ac:dyDescent="0.25">
      <c r="B49" s="61" t="s">
        <v>176</v>
      </c>
      <c r="C49" s="50" t="s">
        <v>175</v>
      </c>
    </row>
    <row r="50" spans="1:4" ht="27.95" customHeight="1" x14ac:dyDescent="0.25">
      <c r="B50" s="61" t="s">
        <v>174</v>
      </c>
      <c r="C50" s="62" t="s">
        <v>369</v>
      </c>
    </row>
    <row r="51" spans="1:4" ht="26.1" customHeight="1" x14ac:dyDescent="0.25">
      <c r="B51" s="61" t="s">
        <v>173</v>
      </c>
      <c r="C51" s="50" t="s">
        <v>172</v>
      </c>
    </row>
    <row r="52" spans="1:4" ht="5.0999999999999996" customHeight="1" x14ac:dyDescent="0.25">
      <c r="A52" s="54"/>
      <c r="B52" s="54"/>
      <c r="C52" s="54"/>
      <c r="D52" s="54"/>
    </row>
    <row r="53" spans="1:4" ht="27.95" customHeight="1" x14ac:dyDescent="0.25">
      <c r="A53" s="54"/>
      <c r="B53" s="63" t="s">
        <v>171</v>
      </c>
      <c r="C53" s="74" t="s">
        <v>170</v>
      </c>
      <c r="D53" s="54"/>
    </row>
    <row r="54" spans="1:4" ht="30" customHeight="1" x14ac:dyDescent="0.25">
      <c r="B54" s="61" t="s">
        <v>169</v>
      </c>
      <c r="C54" s="50" t="s">
        <v>168</v>
      </c>
    </row>
    <row r="55" spans="1:4" ht="27.95" customHeight="1" x14ac:dyDescent="0.25">
      <c r="B55" s="61" t="s">
        <v>167</v>
      </c>
      <c r="C55" s="50" t="s">
        <v>166</v>
      </c>
    </row>
    <row r="56" spans="1:4" ht="32.1" customHeight="1" x14ac:dyDescent="0.25">
      <c r="B56" s="72" t="s">
        <v>324</v>
      </c>
      <c r="C56" s="73"/>
    </row>
    <row r="57" spans="1:4" ht="5.0999999999999996" customHeight="1" x14ac:dyDescent="0.25">
      <c r="A57" s="54"/>
      <c r="B57" s="54"/>
      <c r="C57" s="54"/>
      <c r="D57" s="54"/>
    </row>
    <row r="58" spans="1:4" ht="21.95" customHeight="1" x14ac:dyDescent="0.25">
      <c r="A58" s="54"/>
      <c r="B58" s="77" t="s">
        <v>165</v>
      </c>
      <c r="C58" s="78"/>
      <c r="D58" s="54"/>
    </row>
    <row r="59" spans="1:4" ht="5.0999999999999996" customHeight="1" x14ac:dyDescent="0.25">
      <c r="A59" s="54"/>
      <c r="B59" s="54"/>
      <c r="C59" s="54"/>
      <c r="D59" s="54"/>
    </row>
    <row r="60" spans="1:4" ht="42" customHeight="1" x14ac:dyDescent="0.25">
      <c r="B60" s="82" t="s">
        <v>359</v>
      </c>
      <c r="C60" s="73"/>
    </row>
    <row r="61" spans="1:4" ht="5.0999999999999996" customHeight="1" x14ac:dyDescent="0.25">
      <c r="A61" s="54"/>
      <c r="B61" s="54"/>
      <c r="C61" s="54"/>
      <c r="D61" s="54"/>
    </row>
    <row r="62" spans="1:4" ht="45.95" customHeight="1" x14ac:dyDescent="0.25">
      <c r="B62" s="88" t="s">
        <v>363</v>
      </c>
      <c r="C62" s="73"/>
    </row>
    <row r="63" spans="1:4" ht="5.0999999999999996" customHeight="1" x14ac:dyDescent="0.25">
      <c r="A63" s="54"/>
      <c r="B63" s="54"/>
      <c r="C63" s="54"/>
      <c r="D63" s="54"/>
    </row>
    <row r="64" spans="1:4" ht="5.0999999999999996" customHeight="1" x14ac:dyDescent="0.25">
      <c r="A64" s="54"/>
      <c r="B64" s="54"/>
      <c r="C64" s="54"/>
      <c r="D64" s="54"/>
    </row>
    <row r="65" spans="1:4" ht="8.1" customHeight="1" x14ac:dyDescent="0.25">
      <c r="A65" s="53"/>
      <c r="B65" s="53"/>
      <c r="C65" s="53"/>
      <c r="D65" s="53"/>
    </row>
    <row r="66" spans="1:4" ht="30" customHeight="1" x14ac:dyDescent="0.25">
      <c r="A66" s="53"/>
      <c r="B66" s="75" t="s">
        <v>375</v>
      </c>
      <c r="C66" s="76"/>
      <c r="D66" s="53"/>
    </row>
    <row r="67" spans="1:4" ht="8.1" customHeight="1" x14ac:dyDescent="0.25">
      <c r="A67" s="53"/>
      <c r="B67" s="53"/>
      <c r="C67" s="53"/>
      <c r="D67" s="53"/>
    </row>
    <row r="68" spans="1:4" ht="5.0999999999999996" customHeight="1" x14ac:dyDescent="0.25">
      <c r="A68" s="54"/>
      <c r="B68" s="54"/>
      <c r="C68" s="54"/>
      <c r="D68" s="54"/>
    </row>
    <row r="69" spans="1:4" ht="5.0999999999999996" customHeight="1" x14ac:dyDescent="0.25">
      <c r="A69" s="54"/>
      <c r="B69" s="54"/>
      <c r="C69" s="54"/>
      <c r="D69" s="54"/>
    </row>
    <row r="70" spans="1:4" ht="21.95" customHeight="1" x14ac:dyDescent="0.25">
      <c r="A70" s="54"/>
      <c r="B70" s="77" t="s">
        <v>358</v>
      </c>
      <c r="C70" s="78"/>
      <c r="D70" s="54"/>
    </row>
    <row r="71" spans="1:4" ht="51.95" customHeight="1" x14ac:dyDescent="0.25">
      <c r="B71" s="92" t="s">
        <v>372</v>
      </c>
      <c r="C71" s="73"/>
    </row>
    <row r="72" spans="1:4" ht="5.0999999999999996" customHeight="1" x14ac:dyDescent="0.25">
      <c r="A72" s="54"/>
      <c r="B72" s="54"/>
      <c r="C72" s="54"/>
      <c r="D72" s="54"/>
    </row>
    <row r="73" spans="1:4" ht="21.95" customHeight="1" x14ac:dyDescent="0.25">
      <c r="A73" s="54"/>
      <c r="B73" s="77" t="s">
        <v>209</v>
      </c>
      <c r="C73" s="78"/>
      <c r="D73" s="54"/>
    </row>
    <row r="74" spans="1:4" ht="33.950000000000003" customHeight="1" x14ac:dyDescent="0.25">
      <c r="B74" s="83" t="s">
        <v>210</v>
      </c>
      <c r="C74" s="73"/>
    </row>
    <row r="75" spans="1:4" ht="5.0999999999999996" customHeight="1" x14ac:dyDescent="0.25">
      <c r="A75" s="54"/>
      <c r="B75" s="54"/>
      <c r="C75" s="54"/>
      <c r="D75" s="54"/>
    </row>
    <row r="76" spans="1:4" ht="24" customHeight="1" x14ac:dyDescent="0.25">
      <c r="B76" s="64" t="s">
        <v>211</v>
      </c>
      <c r="C76" s="65" t="s">
        <v>212</v>
      </c>
    </row>
    <row r="77" spans="1:4" ht="27.95" customHeight="1" x14ac:dyDescent="0.25">
      <c r="B77" s="57" t="s">
        <v>201</v>
      </c>
      <c r="C77" s="58" t="s">
        <v>213</v>
      </c>
    </row>
    <row r="78" spans="1:4" ht="27.95" customHeight="1" x14ac:dyDescent="0.25">
      <c r="B78" s="59" t="s">
        <v>214</v>
      </c>
      <c r="C78" s="60" t="s">
        <v>215</v>
      </c>
    </row>
    <row r="79" spans="1:4" ht="27.95" customHeight="1" x14ac:dyDescent="0.25">
      <c r="B79" s="57" t="s">
        <v>216</v>
      </c>
      <c r="C79" s="58" t="s">
        <v>357</v>
      </c>
    </row>
    <row r="80" spans="1:4" ht="27.95" customHeight="1" x14ac:dyDescent="0.25">
      <c r="B80" s="59" t="s">
        <v>217</v>
      </c>
      <c r="C80" s="60" t="s">
        <v>218</v>
      </c>
    </row>
    <row r="81" spans="1:4" ht="27.95" customHeight="1" x14ac:dyDescent="0.25">
      <c r="B81" s="57" t="s">
        <v>219</v>
      </c>
      <c r="C81" s="58" t="s">
        <v>220</v>
      </c>
    </row>
    <row r="82" spans="1:4" ht="27.95" customHeight="1" x14ac:dyDescent="0.25">
      <c r="B82" s="59" t="s">
        <v>221</v>
      </c>
      <c r="C82" s="60" t="s">
        <v>222</v>
      </c>
    </row>
    <row r="83" spans="1:4" ht="5.0999999999999996" customHeight="1" x14ac:dyDescent="0.25">
      <c r="A83" s="54"/>
      <c r="B83" s="54"/>
      <c r="C83" s="54"/>
      <c r="D83" s="54"/>
    </row>
    <row r="84" spans="1:4" ht="21.95" customHeight="1" x14ac:dyDescent="0.25">
      <c r="A84" s="54"/>
      <c r="B84" s="77" t="s">
        <v>223</v>
      </c>
      <c r="C84" s="78"/>
      <c r="D84" s="54"/>
    </row>
    <row r="85" spans="1:4" ht="24" customHeight="1" x14ac:dyDescent="0.25">
      <c r="B85" s="64" t="s">
        <v>224</v>
      </c>
      <c r="C85" s="65" t="s">
        <v>212</v>
      </c>
    </row>
    <row r="86" spans="1:4" ht="33.950000000000003" customHeight="1" x14ac:dyDescent="0.25">
      <c r="B86" s="57" t="s">
        <v>225</v>
      </c>
      <c r="C86" s="58" t="s">
        <v>356</v>
      </c>
    </row>
    <row r="87" spans="1:4" ht="27.95" customHeight="1" x14ac:dyDescent="0.25">
      <c r="B87" s="59" t="s">
        <v>226</v>
      </c>
      <c r="C87" s="60" t="s">
        <v>355</v>
      </c>
    </row>
    <row r="88" spans="1:4" ht="27.95" customHeight="1" x14ac:dyDescent="0.25">
      <c r="B88" s="57" t="s">
        <v>227</v>
      </c>
      <c r="C88" s="58" t="s">
        <v>354</v>
      </c>
    </row>
    <row r="89" spans="1:4" ht="27.95" customHeight="1" x14ac:dyDescent="0.25">
      <c r="B89" s="59" t="s">
        <v>228</v>
      </c>
      <c r="C89" s="60" t="s">
        <v>353</v>
      </c>
    </row>
    <row r="90" spans="1:4" ht="33.950000000000003" customHeight="1" x14ac:dyDescent="0.25">
      <c r="B90" s="57" t="s">
        <v>229</v>
      </c>
      <c r="C90" s="58" t="s">
        <v>352</v>
      </c>
    </row>
    <row r="91" spans="1:4" ht="27.95" customHeight="1" x14ac:dyDescent="0.25">
      <c r="B91" s="59" t="s">
        <v>230</v>
      </c>
      <c r="C91" s="60" t="s">
        <v>351</v>
      </c>
    </row>
    <row r="92" spans="1:4" ht="27.95" customHeight="1" x14ac:dyDescent="0.25">
      <c r="B92" s="57" t="s">
        <v>231</v>
      </c>
      <c r="C92" s="58" t="s">
        <v>350</v>
      </c>
    </row>
    <row r="93" spans="1:4" ht="27.95" customHeight="1" x14ac:dyDescent="0.25">
      <c r="B93" s="59" t="s">
        <v>232</v>
      </c>
      <c r="C93" s="60" t="s">
        <v>349</v>
      </c>
    </row>
    <row r="94" spans="1:4" ht="5.0999999999999996" customHeight="1" x14ac:dyDescent="0.25">
      <c r="A94" s="54"/>
      <c r="B94" s="54"/>
      <c r="C94" s="54"/>
      <c r="D94" s="54"/>
    </row>
    <row r="95" spans="1:4" ht="21.95" customHeight="1" x14ac:dyDescent="0.25">
      <c r="A95" s="54"/>
      <c r="B95" s="77" t="s">
        <v>233</v>
      </c>
      <c r="C95" s="78"/>
      <c r="D95" s="54"/>
    </row>
    <row r="96" spans="1:4" ht="36" customHeight="1" x14ac:dyDescent="0.25">
      <c r="B96" s="83" t="s">
        <v>348</v>
      </c>
      <c r="C96" s="73"/>
    </row>
    <row r="97" spans="1:4" ht="5.0999999999999996" customHeight="1" x14ac:dyDescent="0.25">
      <c r="A97" s="54"/>
      <c r="B97" s="54"/>
      <c r="C97" s="54"/>
      <c r="D97" s="54"/>
    </row>
    <row r="98" spans="1:4" ht="17.100000000000001" customHeight="1" x14ac:dyDescent="0.25">
      <c r="B98" s="79" t="s">
        <v>234</v>
      </c>
      <c r="C98" s="80"/>
    </row>
    <row r="99" spans="1:4" ht="17.100000000000001" customHeight="1" x14ac:dyDescent="0.25">
      <c r="B99" s="79" t="s">
        <v>235</v>
      </c>
      <c r="C99" s="80"/>
    </row>
    <row r="100" spans="1:4" ht="17.100000000000001" customHeight="1" x14ac:dyDescent="0.25">
      <c r="B100" s="79"/>
      <c r="C100" s="80"/>
    </row>
    <row r="101" spans="1:4" ht="17.100000000000001" customHeight="1" x14ac:dyDescent="0.25">
      <c r="B101" s="79" t="s">
        <v>236</v>
      </c>
      <c r="C101" s="80"/>
    </row>
    <row r="102" spans="1:4" ht="17.100000000000001" customHeight="1" x14ac:dyDescent="0.25">
      <c r="B102" s="79" t="s">
        <v>237</v>
      </c>
      <c r="C102" s="80"/>
    </row>
    <row r="103" spans="1:4" ht="17.100000000000001" customHeight="1" x14ac:dyDescent="0.25">
      <c r="B103" s="79"/>
      <c r="C103" s="80"/>
    </row>
    <row r="104" spans="1:4" ht="17.100000000000001" customHeight="1" x14ac:dyDescent="0.25">
      <c r="B104" s="79" t="s">
        <v>238</v>
      </c>
      <c r="C104" s="80"/>
    </row>
    <row r="105" spans="1:4" ht="17.100000000000001" customHeight="1" x14ac:dyDescent="0.25">
      <c r="B105" s="79" t="s">
        <v>239</v>
      </c>
      <c r="C105" s="80"/>
    </row>
    <row r="106" spans="1:4" ht="17.100000000000001" customHeight="1" x14ac:dyDescent="0.25">
      <c r="B106" s="79" t="s">
        <v>240</v>
      </c>
      <c r="C106" s="80"/>
    </row>
    <row r="107" spans="1:4" ht="17.100000000000001" customHeight="1" x14ac:dyDescent="0.25">
      <c r="B107" s="79" t="s">
        <v>241</v>
      </c>
      <c r="C107" s="80"/>
    </row>
    <row r="108" spans="1:4" ht="17.100000000000001" customHeight="1" x14ac:dyDescent="0.25">
      <c r="B108" s="79" t="s">
        <v>242</v>
      </c>
      <c r="C108" s="80"/>
    </row>
    <row r="109" spans="1:4" ht="17.100000000000001" customHeight="1" x14ac:dyDescent="0.25">
      <c r="B109" s="79" t="s">
        <v>347</v>
      </c>
      <c r="C109" s="80"/>
    </row>
    <row r="110" spans="1:4" ht="17.100000000000001" customHeight="1" x14ac:dyDescent="0.25">
      <c r="B110" s="79"/>
      <c r="C110" s="80"/>
    </row>
    <row r="111" spans="1:4" ht="17.100000000000001" customHeight="1" x14ac:dyDescent="0.25">
      <c r="B111" s="79" t="s">
        <v>243</v>
      </c>
      <c r="C111" s="80"/>
    </row>
    <row r="112" spans="1:4" ht="17.100000000000001" customHeight="1" x14ac:dyDescent="0.25">
      <c r="B112" s="94" t="s">
        <v>244</v>
      </c>
      <c r="C112" s="87"/>
    </row>
    <row r="113" spans="1:4" ht="5.0999999999999996" customHeight="1" x14ac:dyDescent="0.25">
      <c r="A113" s="54"/>
      <c r="B113" s="54"/>
      <c r="C113" s="54"/>
      <c r="D113" s="54"/>
    </row>
    <row r="114" spans="1:4" ht="21.95" customHeight="1" x14ac:dyDescent="0.25">
      <c r="A114" s="54"/>
      <c r="B114" s="77" t="s">
        <v>245</v>
      </c>
      <c r="C114" s="78"/>
      <c r="D114" s="54"/>
    </row>
    <row r="115" spans="1:4" ht="27.95" customHeight="1" x14ac:dyDescent="0.25">
      <c r="B115" s="61" t="s">
        <v>246</v>
      </c>
      <c r="C115" s="50" t="s">
        <v>247</v>
      </c>
    </row>
    <row r="116" spans="1:4" ht="27.95" customHeight="1" x14ac:dyDescent="0.25">
      <c r="B116" s="61" t="s">
        <v>248</v>
      </c>
      <c r="C116" s="50" t="s">
        <v>249</v>
      </c>
    </row>
    <row r="117" spans="1:4" ht="32.1" customHeight="1" x14ac:dyDescent="0.25">
      <c r="B117" s="61" t="s">
        <v>250</v>
      </c>
      <c r="C117" s="50" t="s">
        <v>346</v>
      </c>
    </row>
    <row r="118" spans="1:4" ht="32.1" customHeight="1" x14ac:dyDescent="0.25">
      <c r="B118" s="61" t="s">
        <v>251</v>
      </c>
      <c r="C118" s="50" t="s">
        <v>345</v>
      </c>
    </row>
    <row r="119" spans="1:4" ht="5.0999999999999996" customHeight="1" x14ac:dyDescent="0.25">
      <c r="A119" s="54"/>
      <c r="B119" s="54"/>
      <c r="C119" s="54"/>
      <c r="D119" s="54"/>
    </row>
    <row r="120" spans="1:4" ht="21.95" customHeight="1" x14ac:dyDescent="0.25">
      <c r="A120" s="54"/>
      <c r="B120" s="77" t="s">
        <v>252</v>
      </c>
      <c r="C120" s="78"/>
      <c r="D120" s="54"/>
    </row>
    <row r="121" spans="1:4" ht="32.1" customHeight="1" x14ac:dyDescent="0.25">
      <c r="B121" s="61" t="s">
        <v>246</v>
      </c>
      <c r="C121" s="50" t="s">
        <v>344</v>
      </c>
    </row>
    <row r="122" spans="1:4" ht="27.95" customHeight="1" x14ac:dyDescent="0.25">
      <c r="B122" s="61" t="s">
        <v>248</v>
      </c>
      <c r="C122" s="50" t="s">
        <v>343</v>
      </c>
    </row>
    <row r="123" spans="1:4" ht="32.1" customHeight="1" x14ac:dyDescent="0.25">
      <c r="B123" s="61" t="s">
        <v>250</v>
      </c>
      <c r="C123" s="50" t="s">
        <v>342</v>
      </c>
    </row>
    <row r="124" spans="1:4" ht="5.0999999999999996" customHeight="1" x14ac:dyDescent="0.25">
      <c r="A124" s="54"/>
      <c r="B124" s="54"/>
      <c r="C124" s="54"/>
      <c r="D124" s="54"/>
    </row>
    <row r="125" spans="1:4" ht="21.95" customHeight="1" x14ac:dyDescent="0.25">
      <c r="A125" s="54"/>
      <c r="B125" s="77" t="s">
        <v>253</v>
      </c>
      <c r="C125" s="78"/>
      <c r="D125" s="54"/>
    </row>
    <row r="126" spans="1:4" ht="24" customHeight="1" x14ac:dyDescent="0.25">
      <c r="B126" s="55" t="s">
        <v>254</v>
      </c>
      <c r="C126" s="56" t="s">
        <v>255</v>
      </c>
    </row>
    <row r="127" spans="1:4" ht="27.95" customHeight="1" x14ac:dyDescent="0.25">
      <c r="B127" s="57" t="s">
        <v>256</v>
      </c>
      <c r="C127" s="58" t="s">
        <v>257</v>
      </c>
    </row>
    <row r="128" spans="1:4" ht="27.95" customHeight="1" x14ac:dyDescent="0.25">
      <c r="B128" s="59" t="s">
        <v>258</v>
      </c>
      <c r="C128" s="60" t="s">
        <v>259</v>
      </c>
    </row>
    <row r="129" spans="1:4" ht="27.95" customHeight="1" x14ac:dyDescent="0.25">
      <c r="B129" s="57" t="s">
        <v>260</v>
      </c>
      <c r="C129" s="58" t="s">
        <v>261</v>
      </c>
    </row>
    <row r="130" spans="1:4" ht="27.95" customHeight="1" x14ac:dyDescent="0.25">
      <c r="B130" s="59" t="s">
        <v>262</v>
      </c>
      <c r="C130" s="60" t="s">
        <v>263</v>
      </c>
    </row>
    <row r="131" spans="1:4" ht="27.95" customHeight="1" x14ac:dyDescent="0.25">
      <c r="B131" s="57" t="s">
        <v>264</v>
      </c>
      <c r="C131" s="58" t="s">
        <v>265</v>
      </c>
    </row>
    <row r="132" spans="1:4" ht="27.95" customHeight="1" x14ac:dyDescent="0.25">
      <c r="B132" s="59" t="s">
        <v>266</v>
      </c>
      <c r="C132" s="60" t="s">
        <v>341</v>
      </c>
    </row>
    <row r="133" spans="1:4" ht="5.0999999999999996" customHeight="1" x14ac:dyDescent="0.25">
      <c r="A133" s="54"/>
      <c r="B133" s="54"/>
      <c r="C133" s="54"/>
      <c r="D133" s="54"/>
    </row>
    <row r="134" spans="1:4" ht="21.95" customHeight="1" x14ac:dyDescent="0.25">
      <c r="A134" s="54"/>
      <c r="B134" s="77" t="s">
        <v>267</v>
      </c>
      <c r="C134" s="78"/>
      <c r="D134" s="54"/>
    </row>
    <row r="135" spans="1:4" ht="24" customHeight="1" x14ac:dyDescent="0.25">
      <c r="B135" s="81" t="s">
        <v>340</v>
      </c>
      <c r="C135" s="73"/>
    </row>
    <row r="136" spans="1:4" ht="5.0999999999999996" customHeight="1" x14ac:dyDescent="0.25">
      <c r="A136" s="54"/>
      <c r="B136" s="54"/>
      <c r="C136" s="54"/>
      <c r="D136" s="54"/>
    </row>
    <row r="137" spans="1:4" ht="24" customHeight="1" x14ac:dyDescent="0.25">
      <c r="B137" s="55" t="s">
        <v>268</v>
      </c>
      <c r="C137" s="56" t="s">
        <v>269</v>
      </c>
    </row>
    <row r="138" spans="1:4" ht="33.950000000000003" customHeight="1" x14ac:dyDescent="0.25">
      <c r="B138" s="57" t="s">
        <v>270</v>
      </c>
      <c r="C138" s="58" t="s">
        <v>339</v>
      </c>
    </row>
    <row r="139" spans="1:4" ht="27.95" customHeight="1" x14ac:dyDescent="0.25">
      <c r="B139" s="59" t="s">
        <v>271</v>
      </c>
      <c r="C139" s="60" t="s">
        <v>272</v>
      </c>
    </row>
    <row r="140" spans="1:4" ht="27.95" customHeight="1" x14ac:dyDescent="0.25">
      <c r="B140" s="57" t="s">
        <v>273</v>
      </c>
      <c r="C140" s="58" t="s">
        <v>274</v>
      </c>
    </row>
    <row r="141" spans="1:4" ht="27.95" customHeight="1" x14ac:dyDescent="0.25">
      <c r="B141" s="59" t="s">
        <v>275</v>
      </c>
      <c r="C141" s="60" t="s">
        <v>276</v>
      </c>
    </row>
    <row r="142" spans="1:4" ht="5.0999999999999996" customHeight="1" x14ac:dyDescent="0.25">
      <c r="A142" s="54"/>
      <c r="B142" s="54"/>
      <c r="C142" s="54"/>
      <c r="D142" s="54"/>
    </row>
    <row r="143" spans="1:4" ht="21.95" customHeight="1" x14ac:dyDescent="0.25">
      <c r="A143" s="54"/>
      <c r="B143" s="77" t="s">
        <v>277</v>
      </c>
      <c r="C143" s="78"/>
      <c r="D143" s="54"/>
    </row>
    <row r="144" spans="1:4" ht="24" customHeight="1" x14ac:dyDescent="0.25">
      <c r="B144" s="55" t="s">
        <v>269</v>
      </c>
      <c r="C144" s="56" t="s">
        <v>255</v>
      </c>
    </row>
    <row r="145" spans="1:4" ht="27.95" customHeight="1" x14ac:dyDescent="0.25">
      <c r="B145" s="57" t="s">
        <v>278</v>
      </c>
      <c r="C145" s="58" t="s">
        <v>279</v>
      </c>
    </row>
    <row r="146" spans="1:4" ht="27.95" customHeight="1" x14ac:dyDescent="0.25">
      <c r="B146" s="59" t="s">
        <v>280</v>
      </c>
      <c r="C146" s="60" t="s">
        <v>281</v>
      </c>
    </row>
    <row r="147" spans="1:4" ht="27.95" customHeight="1" x14ac:dyDescent="0.25">
      <c r="B147" s="57" t="s">
        <v>282</v>
      </c>
      <c r="C147" s="58" t="s">
        <v>283</v>
      </c>
    </row>
    <row r="148" spans="1:4" ht="27.95" customHeight="1" x14ac:dyDescent="0.25">
      <c r="B148" s="59" t="s">
        <v>284</v>
      </c>
      <c r="C148" s="60" t="s">
        <v>285</v>
      </c>
    </row>
    <row r="149" spans="1:4" ht="27.95" customHeight="1" x14ac:dyDescent="0.25">
      <c r="B149" s="57" t="s">
        <v>286</v>
      </c>
      <c r="C149" s="58" t="s">
        <v>287</v>
      </c>
    </row>
    <row r="150" spans="1:4" ht="27.95" customHeight="1" x14ac:dyDescent="0.25">
      <c r="B150" s="59" t="s">
        <v>288</v>
      </c>
      <c r="C150" s="60" t="s">
        <v>338</v>
      </c>
    </row>
    <row r="151" spans="1:4" ht="27.95" customHeight="1" x14ac:dyDescent="0.25">
      <c r="B151" s="57" t="s">
        <v>289</v>
      </c>
      <c r="C151" s="58" t="s">
        <v>290</v>
      </c>
    </row>
    <row r="152" spans="1:4" ht="27.95" customHeight="1" x14ac:dyDescent="0.25">
      <c r="B152" s="59" t="s">
        <v>291</v>
      </c>
      <c r="C152" s="60" t="s">
        <v>292</v>
      </c>
    </row>
    <row r="153" spans="1:4" ht="36" customHeight="1" x14ac:dyDescent="0.25">
      <c r="B153" s="57" t="s">
        <v>337</v>
      </c>
      <c r="C153" s="58" t="s">
        <v>336</v>
      </c>
    </row>
    <row r="154" spans="1:4" ht="5.0999999999999996" customHeight="1" x14ac:dyDescent="0.25">
      <c r="A154" s="54"/>
      <c r="B154" s="54"/>
      <c r="C154" s="54"/>
      <c r="D154" s="54"/>
    </row>
    <row r="155" spans="1:4" ht="21.95" customHeight="1" x14ac:dyDescent="0.25">
      <c r="A155" s="54"/>
      <c r="B155" s="77" t="s">
        <v>293</v>
      </c>
      <c r="C155" s="78"/>
      <c r="D155" s="54"/>
    </row>
    <row r="156" spans="1:4" ht="33.950000000000003" customHeight="1" x14ac:dyDescent="0.25">
      <c r="B156" s="61" t="s">
        <v>294</v>
      </c>
      <c r="C156" s="50" t="s">
        <v>335</v>
      </c>
    </row>
    <row r="157" spans="1:4" ht="26.1" customHeight="1" x14ac:dyDescent="0.25">
      <c r="B157" s="61" t="s">
        <v>295</v>
      </c>
      <c r="C157" s="50" t="s">
        <v>296</v>
      </c>
    </row>
    <row r="158" spans="1:4" ht="30" customHeight="1" x14ac:dyDescent="0.25">
      <c r="B158" s="61" t="s">
        <v>297</v>
      </c>
      <c r="C158" s="50" t="s">
        <v>298</v>
      </c>
    </row>
    <row r="159" spans="1:4" ht="44.1" customHeight="1" x14ac:dyDescent="0.25">
      <c r="B159" s="61" t="s">
        <v>299</v>
      </c>
      <c r="C159" s="50" t="s">
        <v>334</v>
      </c>
    </row>
    <row r="160" spans="1:4" ht="5.0999999999999996" customHeight="1" x14ac:dyDescent="0.25">
      <c r="A160" s="54"/>
      <c r="B160" s="54"/>
      <c r="C160" s="54"/>
      <c r="D160" s="54"/>
    </row>
    <row r="161" spans="1:4" ht="21.95" customHeight="1" x14ac:dyDescent="0.25">
      <c r="A161" s="54"/>
      <c r="B161" s="77" t="s">
        <v>300</v>
      </c>
      <c r="C161" s="78"/>
      <c r="D161" s="54"/>
    </row>
    <row r="162" spans="1:4" ht="24" customHeight="1" x14ac:dyDescent="0.25">
      <c r="B162" s="64" t="s">
        <v>301</v>
      </c>
      <c r="C162" s="65" t="s">
        <v>255</v>
      </c>
    </row>
    <row r="163" spans="1:4" ht="36" customHeight="1" x14ac:dyDescent="0.25">
      <c r="B163" s="57" t="s">
        <v>302</v>
      </c>
      <c r="C163" s="58" t="s">
        <v>333</v>
      </c>
    </row>
    <row r="164" spans="1:4" ht="36" customHeight="1" x14ac:dyDescent="0.25">
      <c r="B164" s="59" t="s">
        <v>303</v>
      </c>
      <c r="C164" s="60" t="s">
        <v>332</v>
      </c>
    </row>
    <row r="165" spans="1:4" ht="5.0999999999999996" customHeight="1" x14ac:dyDescent="0.25">
      <c r="A165" s="54"/>
      <c r="B165" s="54"/>
      <c r="C165" s="54"/>
      <c r="D165" s="54"/>
    </row>
    <row r="166" spans="1:4" ht="36" customHeight="1" x14ac:dyDescent="0.25">
      <c r="B166" s="61" t="s">
        <v>304</v>
      </c>
      <c r="C166" s="50" t="s">
        <v>331</v>
      </c>
    </row>
    <row r="167" spans="1:4" ht="5.0999999999999996" customHeight="1" x14ac:dyDescent="0.25">
      <c r="A167" s="54"/>
      <c r="B167" s="54"/>
      <c r="C167" s="54"/>
      <c r="D167" s="54"/>
    </row>
    <row r="168" spans="1:4" ht="21.95" customHeight="1" x14ac:dyDescent="0.25">
      <c r="A168" s="54"/>
      <c r="B168" s="77" t="s">
        <v>305</v>
      </c>
      <c r="C168" s="78"/>
      <c r="D168" s="54"/>
    </row>
    <row r="169" spans="1:4" ht="27.95" customHeight="1" x14ac:dyDescent="0.25">
      <c r="B169" s="83" t="s">
        <v>306</v>
      </c>
      <c r="C169" s="73"/>
    </row>
    <row r="170" spans="1:4" ht="5.0999999999999996" customHeight="1" x14ac:dyDescent="0.25">
      <c r="A170" s="54"/>
      <c r="B170" s="54"/>
      <c r="C170" s="54"/>
      <c r="D170" s="54"/>
    </row>
    <row r="171" spans="1:4" ht="24" customHeight="1" x14ac:dyDescent="0.25">
      <c r="B171" s="64" t="s">
        <v>307</v>
      </c>
      <c r="C171" s="65" t="s">
        <v>308</v>
      </c>
    </row>
    <row r="172" spans="1:4" ht="27.95" customHeight="1" x14ac:dyDescent="0.25">
      <c r="B172" s="57" t="s">
        <v>204</v>
      </c>
      <c r="C172" s="58" t="s">
        <v>309</v>
      </c>
    </row>
    <row r="173" spans="1:4" ht="27.95" customHeight="1" x14ac:dyDescent="0.25">
      <c r="B173" s="59" t="s">
        <v>197</v>
      </c>
      <c r="C173" s="60" t="s">
        <v>330</v>
      </c>
    </row>
    <row r="174" spans="1:4" ht="27.95" customHeight="1" x14ac:dyDescent="0.25">
      <c r="B174" s="57" t="s">
        <v>188</v>
      </c>
      <c r="C174" s="58" t="s">
        <v>310</v>
      </c>
    </row>
    <row r="175" spans="1:4" ht="27.95" customHeight="1" x14ac:dyDescent="0.25">
      <c r="B175" s="59" t="s">
        <v>182</v>
      </c>
      <c r="C175" s="60" t="s">
        <v>311</v>
      </c>
    </row>
    <row r="176" spans="1:4" ht="27.95" customHeight="1" x14ac:dyDescent="0.25">
      <c r="B176" s="57" t="s">
        <v>178</v>
      </c>
      <c r="C176" s="58" t="s">
        <v>312</v>
      </c>
    </row>
    <row r="177" spans="1:4" ht="5.0999999999999996" customHeight="1" x14ac:dyDescent="0.25">
      <c r="A177" s="54"/>
      <c r="B177" s="54"/>
      <c r="C177" s="54"/>
      <c r="D177" s="54"/>
    </row>
    <row r="178" spans="1:4" ht="21.95" customHeight="1" x14ac:dyDescent="0.25">
      <c r="A178" s="54"/>
      <c r="B178" s="77" t="s">
        <v>313</v>
      </c>
      <c r="C178" s="78"/>
      <c r="D178" s="54"/>
    </row>
    <row r="179" spans="1:4" ht="24" customHeight="1" x14ac:dyDescent="0.25">
      <c r="B179" s="64" t="s">
        <v>314</v>
      </c>
      <c r="C179" s="65" t="s">
        <v>315</v>
      </c>
    </row>
    <row r="180" spans="1:4" ht="39.950000000000003" customHeight="1" x14ac:dyDescent="0.25">
      <c r="B180" s="57" t="s">
        <v>316</v>
      </c>
      <c r="C180" s="58" t="s">
        <v>329</v>
      </c>
    </row>
    <row r="181" spans="1:4" ht="44.1" customHeight="1" x14ac:dyDescent="0.25">
      <c r="B181" s="59" t="s">
        <v>317</v>
      </c>
      <c r="C181" s="60" t="s">
        <v>328</v>
      </c>
    </row>
    <row r="182" spans="1:4" ht="33.950000000000003" customHeight="1" x14ac:dyDescent="0.25">
      <c r="B182" s="57" t="s">
        <v>318</v>
      </c>
      <c r="C182" s="58" t="s">
        <v>327</v>
      </c>
    </row>
    <row r="183" spans="1:4" ht="36" customHeight="1" x14ac:dyDescent="0.25">
      <c r="B183" s="59" t="s">
        <v>319</v>
      </c>
      <c r="C183" s="60" t="s">
        <v>326</v>
      </c>
    </row>
    <row r="184" spans="1:4" ht="33.950000000000003" customHeight="1" x14ac:dyDescent="0.25">
      <c r="B184" s="57" t="s">
        <v>291</v>
      </c>
      <c r="C184" s="58" t="s">
        <v>325</v>
      </c>
    </row>
    <row r="185" spans="1:4" ht="5.0999999999999996" customHeight="1" x14ac:dyDescent="0.25">
      <c r="A185" s="54"/>
      <c r="B185" s="54"/>
      <c r="C185" s="54"/>
      <c r="D185" s="54"/>
    </row>
    <row r="186" spans="1:4" ht="44.1" customHeight="1" x14ac:dyDescent="0.25">
      <c r="B186" s="82" t="s">
        <v>320</v>
      </c>
      <c r="C186" s="73"/>
    </row>
    <row r="187" spans="1:4" ht="5.0999999999999996" customHeight="1" x14ac:dyDescent="0.25">
      <c r="A187" s="54"/>
      <c r="B187" s="54"/>
      <c r="C187" s="54"/>
      <c r="D187" s="54"/>
    </row>
    <row r="188" spans="1:4" ht="5.0999999999999996" customHeight="1" x14ac:dyDescent="0.25">
      <c r="A188" s="54"/>
      <c r="B188" s="54"/>
      <c r="C188" s="54"/>
      <c r="D188" s="54"/>
    </row>
    <row r="189" spans="1:4" ht="18" customHeight="1" x14ac:dyDescent="0.25">
      <c r="A189" s="54"/>
      <c r="B189" s="69"/>
      <c r="C189" s="70"/>
      <c r="D189" s="54"/>
    </row>
  </sheetData>
  <mergeCells count="62">
    <mergeCell ref="B7:D7"/>
    <mergeCell ref="B155:C155"/>
    <mergeCell ref="B17:C17"/>
    <mergeCell ref="B56:C56"/>
    <mergeCell ref="B102:C102"/>
    <mergeCell ref="B74:C74"/>
    <mergeCell ref="B110:C110"/>
    <mergeCell ref="B120:C120"/>
    <mergeCell ref="B27:C27"/>
    <mergeCell ref="B114:C114"/>
    <mergeCell ref="B20:C20"/>
    <mergeCell ref="B105:C105"/>
    <mergeCell ref="B101:C101"/>
    <mergeCell ref="B99:C99"/>
    <mergeCell ref="B111:C111"/>
    <mergeCell ref="B58:C58"/>
    <mergeCell ref="B168:C168"/>
    <mergeCell ref="B71:C71"/>
    <mergeCell ref="B46:C46"/>
    <mergeCell ref="C30"/>
    <mergeCell ref="B73:C73"/>
    <mergeCell ref="B98:C98"/>
    <mergeCell ref="B104:C104"/>
    <mergeCell ref="B107:C107"/>
    <mergeCell ref="C37"/>
    <mergeCell ref="B112:C112"/>
    <mergeCell ref="B95:C95"/>
    <mergeCell ref="B60:C60"/>
    <mergeCell ref="B134:C134"/>
    <mergeCell ref="B84:C84"/>
    <mergeCell ref="B186:C186"/>
    <mergeCell ref="B169:C169"/>
    <mergeCell ref="B2:C2"/>
    <mergeCell ref="B12:C12"/>
    <mergeCell ref="B100:C100"/>
    <mergeCell ref="B44:C44"/>
    <mergeCell ref="B109:C109"/>
    <mergeCell ref="B103:C103"/>
    <mergeCell ref="B62:C62"/>
    <mergeCell ref="B4:C4"/>
    <mergeCell ref="B5:C5"/>
    <mergeCell ref="B96:C96"/>
    <mergeCell ref="B28:C28"/>
    <mergeCell ref="B3:C3"/>
    <mergeCell ref="B143:C143"/>
    <mergeCell ref="B161:C161"/>
    <mergeCell ref="B189:C189"/>
    <mergeCell ref="B6:C6"/>
    <mergeCell ref="B25:C25"/>
    <mergeCell ref="C42"/>
    <mergeCell ref="B66:C66"/>
    <mergeCell ref="B16:C16"/>
    <mergeCell ref="B35:C35"/>
    <mergeCell ref="B70:C70"/>
    <mergeCell ref="B106:C106"/>
    <mergeCell ref="B178:C178"/>
    <mergeCell ref="B108:C108"/>
    <mergeCell ref="B135:C135"/>
    <mergeCell ref="C22"/>
    <mergeCell ref="B125:C125"/>
    <mergeCell ref="C53"/>
    <mergeCell ref="C48"/>
  </mergeCells>
  <hyperlinks>
    <hyperlink ref="B4:C4" r:id="rId1" display="Hi guys, please visit https://github.com/trunganh1901/BCC for occasional (perhaps once per 2 years) for update." xr:uid="{2DD678AA-E5D4-40EE-BE0E-DAE944A64D5F}"/>
  </hyperlinks>
  <pageMargins left="0.75" right="0.75" top="1" bottom="1" header="0.5" footer="0.5"/>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688363-C0AC-4348-BE33-B6AEFC5A9C2B}">
  <sheetPr codeName="Sheet4"/>
  <dimension ref="A1:Z87"/>
  <sheetViews>
    <sheetView showGridLines="0" zoomScaleNormal="100" workbookViewId="0">
      <pane ySplit="1" topLeftCell="A54" activePane="bottomLeft" state="frozen"/>
      <selection pane="bottomLeft" activeCell="C62" sqref="C62"/>
    </sheetView>
  </sheetViews>
  <sheetFormatPr defaultRowHeight="15" x14ac:dyDescent="0.25"/>
  <cols>
    <col min="1" max="1" width="26.140625" style="38" customWidth="1"/>
    <col min="2" max="2" width="43.85546875" customWidth="1"/>
    <col min="3" max="3" width="67.7109375" customWidth="1"/>
    <col min="4" max="4" width="61.7109375" customWidth="1"/>
    <col min="5" max="5" width="25" hidden="1" customWidth="1"/>
    <col min="6" max="6" width="41.28515625" style="45" customWidth="1"/>
  </cols>
  <sheetData>
    <row r="1" spans="1:26" ht="81" customHeight="1" x14ac:dyDescent="0.25">
      <c r="A1" s="13" t="s">
        <v>123</v>
      </c>
      <c r="B1" s="13" t="s">
        <v>154</v>
      </c>
      <c r="C1" s="13" t="s">
        <v>124</v>
      </c>
      <c r="D1" s="13" t="s">
        <v>124</v>
      </c>
      <c r="E1" s="13" t="s">
        <v>125</v>
      </c>
      <c r="F1" s="44"/>
    </row>
    <row r="2" spans="1:26" x14ac:dyDescent="0.25">
      <c r="A2" s="38" t="s">
        <v>3</v>
      </c>
      <c r="B2" t="s">
        <v>23</v>
      </c>
      <c r="C2" s="21">
        <v>1</v>
      </c>
      <c r="D2" s="2" t="str">
        <f>TEXT(C2,"00")</f>
        <v>01</v>
      </c>
      <c r="F2" s="45" t="str">
        <f>IF(C2="","⚠ Bắt buộc","✅")</f>
        <v>✅</v>
      </c>
      <c r="Z2" t="s">
        <v>1</v>
      </c>
    </row>
    <row r="3" spans="1:26" x14ac:dyDescent="0.25">
      <c r="A3" s="38" t="s">
        <v>13</v>
      </c>
      <c r="B3" t="s">
        <v>91</v>
      </c>
      <c r="C3" s="17" t="s">
        <v>377</v>
      </c>
      <c r="D3" s="8" t="str">
        <f>C3</f>
        <v>19/04/2026</v>
      </c>
      <c r="F3" s="45" t="str">
        <f>IF(C3="","⚠ Bắt buộc","✅")</f>
        <v>✅</v>
      </c>
      <c r="H3" s="7"/>
    </row>
    <row r="4" spans="1:26" hidden="1" x14ac:dyDescent="0.25">
      <c r="A4" s="38" t="s">
        <v>92</v>
      </c>
      <c r="B4" t="s">
        <v>93</v>
      </c>
      <c r="C4" s="17"/>
      <c r="D4" s="2">
        <f>YEAR(D3)</f>
        <v>2026</v>
      </c>
      <c r="H4" s="7"/>
    </row>
    <row r="5" spans="1:26" x14ac:dyDescent="0.25">
      <c r="A5" s="38" t="s">
        <v>2</v>
      </c>
      <c r="B5" t="s">
        <v>31</v>
      </c>
      <c r="C5" s="16">
        <v>58585858</v>
      </c>
      <c r="D5" s="2">
        <f t="shared" ref="D5:D6" si="0">C5</f>
        <v>58585858</v>
      </c>
      <c r="E5" s="4"/>
      <c r="F5" s="45" t="str">
        <f>IF(C5="","⚠ Bắt buộc","✅")</f>
        <v>✅</v>
      </c>
    </row>
    <row r="6" spans="1:26" x14ac:dyDescent="0.25">
      <c r="A6" s="38" t="s">
        <v>0</v>
      </c>
      <c r="B6" t="s">
        <v>32</v>
      </c>
      <c r="C6" s="16" t="s">
        <v>41</v>
      </c>
      <c r="D6" s="2" t="str">
        <f t="shared" si="0"/>
        <v>Ông</v>
      </c>
      <c r="F6" s="45" t="str">
        <f>IF(C6="","⚠ Bắt buộc","✅")</f>
        <v>✅</v>
      </c>
    </row>
    <row r="7" spans="1:26" x14ac:dyDescent="0.25">
      <c r="A7" s="38" t="s">
        <v>5</v>
      </c>
      <c r="B7" t="s">
        <v>30</v>
      </c>
      <c r="C7" s="16" t="s">
        <v>44</v>
      </c>
      <c r="D7" s="2" t="str">
        <f>C7</f>
        <v>Nguyễn Nhật Thịnh Nát</v>
      </c>
      <c r="F7" s="45" t="str">
        <f>IF(C29="","⚠ Bắt buộc","✅")</f>
        <v>✅</v>
      </c>
    </row>
    <row r="8" spans="1:26" x14ac:dyDescent="0.25">
      <c r="A8" s="38" t="s">
        <v>79</v>
      </c>
      <c r="B8" t="s">
        <v>80</v>
      </c>
      <c r="C8" s="17" t="s">
        <v>378</v>
      </c>
      <c r="D8" s="8" t="str">
        <f>C8</f>
        <v>15/08/1994</v>
      </c>
      <c r="F8" s="45" t="str">
        <f t="shared" ref="F8:F55" si="1">IF(C8="","⚠ Bắt buộc","✅")</f>
        <v>✅</v>
      </c>
    </row>
    <row r="9" spans="1:26" hidden="1" x14ac:dyDescent="0.25">
      <c r="A9" s="38" t="s">
        <v>81</v>
      </c>
      <c r="B9" t="s">
        <v>82</v>
      </c>
      <c r="C9" s="16">
        <v>1994</v>
      </c>
      <c r="D9" s="2">
        <f>YEAR(D8)</f>
        <v>1994</v>
      </c>
      <c r="F9" s="45" t="str">
        <f t="shared" si="1"/>
        <v>✅</v>
      </c>
    </row>
    <row r="10" spans="1:26" x14ac:dyDescent="0.25">
      <c r="A10" s="38" t="s">
        <v>94</v>
      </c>
      <c r="B10" t="s">
        <v>95</v>
      </c>
      <c r="C10" s="16" t="s">
        <v>98</v>
      </c>
      <c r="D10" s="2" t="str">
        <f>C10</f>
        <v>Căn cước công dân</v>
      </c>
      <c r="F10" s="45" t="str">
        <f t="shared" si="1"/>
        <v>✅</v>
      </c>
    </row>
    <row r="11" spans="1:26" x14ac:dyDescent="0.25">
      <c r="A11" s="38" t="s">
        <v>6</v>
      </c>
      <c r="B11" t="s">
        <v>33</v>
      </c>
      <c r="C11" s="18">
        <v>31095222222</v>
      </c>
      <c r="D11" s="9" t="str">
        <f>IF(LEN(C11)&lt;=9,TEXT(C11,"000000000"),TEXT(C11,"000000000000"))</f>
        <v>031095222222</v>
      </c>
      <c r="F11" s="45" t="str">
        <f t="shared" si="1"/>
        <v>✅</v>
      </c>
    </row>
    <row r="12" spans="1:26" x14ac:dyDescent="0.25">
      <c r="A12" s="38" t="s">
        <v>8</v>
      </c>
      <c r="B12" t="s">
        <v>35</v>
      </c>
      <c r="C12" s="17">
        <v>46023</v>
      </c>
      <c r="D12" s="8">
        <f>C12</f>
        <v>46023</v>
      </c>
      <c r="F12" s="45" t="str">
        <f t="shared" si="1"/>
        <v>✅</v>
      </c>
    </row>
    <row r="13" spans="1:26" x14ac:dyDescent="0.25">
      <c r="A13" s="38" t="s">
        <v>7</v>
      </c>
      <c r="B13" t="s">
        <v>34</v>
      </c>
      <c r="C13" s="19" t="s">
        <v>42</v>
      </c>
      <c r="D13" s="10" t="str">
        <f>C13</f>
        <v>Cục Cảnh sát Quản lý hành chính về trật tự xã hội</v>
      </c>
      <c r="F13" s="45" t="str">
        <f t="shared" si="1"/>
        <v>✅</v>
      </c>
    </row>
    <row r="14" spans="1:26" x14ac:dyDescent="0.25">
      <c r="A14" s="38" t="s">
        <v>83</v>
      </c>
      <c r="B14" t="s">
        <v>84</v>
      </c>
      <c r="C14" s="16" t="s">
        <v>147</v>
      </c>
      <c r="D14" s="2" t="str">
        <f>C14</f>
        <v>Hải Phòng city boy</v>
      </c>
      <c r="F14" s="45" t="str">
        <f t="shared" si="1"/>
        <v>✅</v>
      </c>
    </row>
    <row r="15" spans="1:26" x14ac:dyDescent="0.25">
      <c r="A15" s="38" t="s">
        <v>4</v>
      </c>
      <c r="B15" t="s">
        <v>36</v>
      </c>
      <c r="C15" s="20">
        <v>987500883</v>
      </c>
      <c r="D15" s="2" t="str">
        <f>TEXT(C15,"0000000000")</f>
        <v>0987500883</v>
      </c>
      <c r="F15" s="45" t="str">
        <f t="shared" si="1"/>
        <v>✅</v>
      </c>
    </row>
    <row r="16" spans="1:26" x14ac:dyDescent="0.25">
      <c r="A16" s="38" t="s">
        <v>39</v>
      </c>
      <c r="B16" t="s">
        <v>37</v>
      </c>
      <c r="C16" s="16" t="s">
        <v>38</v>
      </c>
      <c r="D16" s="2" t="str">
        <f t="shared" ref="D16:D22" si="2">C16</f>
        <v>Đã kết hôn</v>
      </c>
      <c r="F16" s="45" t="str">
        <f t="shared" si="1"/>
        <v>✅</v>
      </c>
    </row>
    <row r="17" spans="1:6" hidden="1" x14ac:dyDescent="0.25">
      <c r="A17" s="38" t="s">
        <v>77</v>
      </c>
      <c r="B17" t="s">
        <v>78</v>
      </c>
      <c r="C17" s="16"/>
      <c r="D17" s="2" t="str">
        <f>IF(D16="Đã kết hôn",IF(D6="Ông","vợ","chồng"))</f>
        <v>vợ</v>
      </c>
    </row>
    <row r="18" spans="1:6" hidden="1" x14ac:dyDescent="0.25">
      <c r="A18" s="38" t="s">
        <v>121</v>
      </c>
      <c r="B18" t="s">
        <v>40</v>
      </c>
      <c r="C18" s="16"/>
      <c r="D18" s="2" t="str">
        <f>IF(D16="Đã kết hôn",IF(D6="Ông","Bà",""))</f>
        <v>Bà</v>
      </c>
    </row>
    <row r="19" spans="1:6" x14ac:dyDescent="0.25">
      <c r="A19" s="38" t="s">
        <v>9</v>
      </c>
      <c r="B19" t="s">
        <v>43</v>
      </c>
      <c r="C19" s="16" t="s">
        <v>146</v>
      </c>
      <c r="D19" s="2" t="str">
        <f t="shared" si="2"/>
        <v>Lê Trung Hưng Phệ</v>
      </c>
      <c r="F19" s="45" t="str">
        <f t="shared" si="1"/>
        <v>✅</v>
      </c>
    </row>
    <row r="20" spans="1:6" x14ac:dyDescent="0.25">
      <c r="A20" s="38" t="s">
        <v>85</v>
      </c>
      <c r="B20" t="s">
        <v>86</v>
      </c>
      <c r="C20" s="17" t="s">
        <v>379</v>
      </c>
      <c r="D20" s="8" t="str">
        <f t="shared" si="2"/>
        <v>15/08/1991</v>
      </c>
      <c r="F20" s="45" t="str">
        <f t="shared" si="1"/>
        <v>✅</v>
      </c>
    </row>
    <row r="21" spans="1:6" hidden="1" x14ac:dyDescent="0.25">
      <c r="A21" s="38" t="s">
        <v>87</v>
      </c>
      <c r="B21" t="s">
        <v>88</v>
      </c>
      <c r="C21" s="16">
        <v>1991</v>
      </c>
      <c r="D21" s="2">
        <f>YEAR(D20)</f>
        <v>1991</v>
      </c>
    </row>
    <row r="22" spans="1:6" x14ac:dyDescent="0.25">
      <c r="A22" s="38" t="s">
        <v>96</v>
      </c>
      <c r="B22" t="s">
        <v>97</v>
      </c>
      <c r="C22" s="16" t="s">
        <v>98</v>
      </c>
      <c r="D22" s="2" t="str">
        <f t="shared" si="2"/>
        <v>Căn cước công dân</v>
      </c>
      <c r="F22" s="45" t="str">
        <f t="shared" si="1"/>
        <v>✅</v>
      </c>
    </row>
    <row r="23" spans="1:6" x14ac:dyDescent="0.25">
      <c r="A23" s="38" t="s">
        <v>10</v>
      </c>
      <c r="B23" t="s">
        <v>153</v>
      </c>
      <c r="C23" s="95">
        <v>1091000254</v>
      </c>
      <c r="D23" s="9" t="str">
        <f>IF(LEN(C23)&lt;=9,TEXT(C23,"000000000"),TEXT(C23,"000000000000"))</f>
        <v>001091000254</v>
      </c>
      <c r="F23" s="45" t="str">
        <f t="shared" si="1"/>
        <v>✅</v>
      </c>
    </row>
    <row r="24" spans="1:6" x14ac:dyDescent="0.25">
      <c r="A24" s="38" t="s">
        <v>12</v>
      </c>
      <c r="B24" t="s">
        <v>35</v>
      </c>
      <c r="C24" s="17">
        <v>46023</v>
      </c>
      <c r="D24" s="8">
        <f>C24</f>
        <v>46023</v>
      </c>
      <c r="F24" s="45" t="str">
        <f t="shared" si="1"/>
        <v>✅</v>
      </c>
    </row>
    <row r="25" spans="1:6" x14ac:dyDescent="0.25">
      <c r="A25" s="38" t="s">
        <v>11</v>
      </c>
      <c r="B25" t="s">
        <v>34</v>
      </c>
      <c r="C25" s="19" t="s">
        <v>42</v>
      </c>
      <c r="D25" s="10" t="str">
        <f>C25</f>
        <v>Cục Cảnh sát Quản lý hành chính về trật tự xã hội</v>
      </c>
      <c r="F25" s="45" t="str">
        <f t="shared" si="1"/>
        <v>✅</v>
      </c>
    </row>
    <row r="26" spans="1:6" x14ac:dyDescent="0.25">
      <c r="A26" s="38" t="s">
        <v>90</v>
      </c>
      <c r="B26" t="s">
        <v>89</v>
      </c>
      <c r="C26" s="16" t="s">
        <v>148</v>
      </c>
      <c r="D26" s="2" t="str">
        <f>C26</f>
        <v>Kim Liên Quan</v>
      </c>
      <c r="F26" s="45" t="str">
        <f t="shared" si="1"/>
        <v>✅</v>
      </c>
    </row>
    <row r="27" spans="1:6" x14ac:dyDescent="0.25">
      <c r="A27" s="11" t="s">
        <v>126</v>
      </c>
      <c r="B27" s="11" t="s">
        <v>45</v>
      </c>
      <c r="C27" s="11" t="s">
        <v>376</v>
      </c>
      <c r="D27" s="12" t="str">
        <f>C27</f>
        <v>QSDĐ</v>
      </c>
      <c r="F27" s="46" t="str">
        <f>IF(D27="QSDĐ","🏡 Quyền sử dụng đất",IF(D27="QSDĐ+TSGLVĐ","🏠 Đất + Tài sản trên đất",IF(D27="CHCC","🏢 Căn hộ chung cư","")))</f>
        <v>🏡 Quyền sử dụng đất</v>
      </c>
    </row>
    <row r="28" spans="1:6" x14ac:dyDescent="0.25">
      <c r="A28" s="39"/>
      <c r="B28" s="14" t="s">
        <v>138</v>
      </c>
      <c r="C28" s="14"/>
      <c r="D28" s="14"/>
      <c r="E28" t="s">
        <v>136</v>
      </c>
    </row>
    <row r="29" spans="1:6" s="22" customFormat="1" x14ac:dyDescent="0.25">
      <c r="A29" s="40" t="s">
        <v>128</v>
      </c>
      <c r="B29" s="22" t="s">
        <v>53</v>
      </c>
      <c r="C29" s="15">
        <v>1</v>
      </c>
      <c r="D29" s="22">
        <f t="shared" ref="D29:D36" si="3">IF(ISNUMBER(SEARCH(COLLATERAL_TYPE,E29)),C29,"")</f>
        <v>1</v>
      </c>
      <c r="E29" s="22" t="s">
        <v>136</v>
      </c>
      <c r="F29" s="47" t="str">
        <f t="shared" si="1"/>
        <v>✅</v>
      </c>
    </row>
    <row r="30" spans="1:6" s="22" customFormat="1" x14ac:dyDescent="0.25">
      <c r="A30" s="40" t="s">
        <v>129</v>
      </c>
      <c r="B30" s="22" t="s">
        <v>54</v>
      </c>
      <c r="C30" s="15">
        <v>2</v>
      </c>
      <c r="D30" s="22">
        <f t="shared" si="3"/>
        <v>2</v>
      </c>
      <c r="E30" s="22" t="s">
        <v>136</v>
      </c>
      <c r="F30" s="47" t="str">
        <f t="shared" si="1"/>
        <v>✅</v>
      </c>
    </row>
    <row r="31" spans="1:6" s="22" customFormat="1" x14ac:dyDescent="0.25">
      <c r="A31" s="40" t="s">
        <v>155</v>
      </c>
      <c r="B31" s="22" t="s">
        <v>130</v>
      </c>
      <c r="C31" s="16" t="s">
        <v>150</v>
      </c>
      <c r="D31" s="31" t="str">
        <f t="shared" si="3"/>
        <v>Trấn Kim Liên, Phủ Thạch Thất, Sơn Tây Tỉnh</v>
      </c>
      <c r="E31" s="22" t="s">
        <v>136</v>
      </c>
      <c r="F31" s="47" t="str">
        <f t="shared" si="1"/>
        <v>✅</v>
      </c>
    </row>
    <row r="32" spans="1:6" s="22" customFormat="1" x14ac:dyDescent="0.25">
      <c r="A32" s="40" t="s">
        <v>149</v>
      </c>
      <c r="B32" s="22" t="s">
        <v>131</v>
      </c>
      <c r="C32" s="15">
        <v>360</v>
      </c>
      <c r="D32" s="22">
        <f t="shared" si="3"/>
        <v>360</v>
      </c>
      <c r="E32" s="22" t="s">
        <v>136</v>
      </c>
      <c r="F32" s="47" t="str">
        <f t="shared" si="1"/>
        <v>✅</v>
      </c>
    </row>
    <row r="33" spans="1:6" s="22" customFormat="1" x14ac:dyDescent="0.25">
      <c r="A33" s="40" t="s">
        <v>132</v>
      </c>
      <c r="B33" s="22" t="s">
        <v>61</v>
      </c>
      <c r="C33" s="15" t="s">
        <v>62</v>
      </c>
      <c r="D33" s="31" t="str">
        <f t="shared" si="3"/>
        <v>Sử dụng chung</v>
      </c>
      <c r="E33" s="22" t="s">
        <v>136</v>
      </c>
      <c r="F33" s="47" t="str">
        <f t="shared" si="1"/>
        <v>✅</v>
      </c>
    </row>
    <row r="34" spans="1:6" s="22" customFormat="1" x14ac:dyDescent="0.25">
      <c r="A34" s="40" t="s">
        <v>133</v>
      </c>
      <c r="B34" s="22" t="s">
        <v>63</v>
      </c>
      <c r="C34" s="15" t="s">
        <v>64</v>
      </c>
      <c r="D34" s="31" t="str">
        <f t="shared" si="3"/>
        <v>Đất ở tại đô thị</v>
      </c>
      <c r="E34" s="22" t="s">
        <v>136</v>
      </c>
      <c r="F34" s="47" t="str">
        <f t="shared" si="1"/>
        <v>✅</v>
      </c>
    </row>
    <row r="35" spans="1:6" s="22" customFormat="1" x14ac:dyDescent="0.25">
      <c r="A35" s="40" t="s">
        <v>134</v>
      </c>
      <c r="B35" s="22" t="s">
        <v>65</v>
      </c>
      <c r="C35" s="15" t="s">
        <v>66</v>
      </c>
      <c r="D35" s="31" t="str">
        <f t="shared" si="3"/>
        <v>Lâu dài</v>
      </c>
      <c r="E35" s="22" t="s">
        <v>136</v>
      </c>
      <c r="F35" s="47" t="str">
        <f t="shared" si="1"/>
        <v>✅</v>
      </c>
    </row>
    <row r="36" spans="1:6" s="22" customFormat="1" x14ac:dyDescent="0.25">
      <c r="A36" s="40" t="s">
        <v>135</v>
      </c>
      <c r="B36" s="22" t="s">
        <v>67</v>
      </c>
      <c r="C36" s="15" t="s">
        <v>68</v>
      </c>
      <c r="D36" s="31" t="str">
        <f t="shared" si="3"/>
        <v>Nhà nước giao đất có thu tiền sử dụng đất</v>
      </c>
      <c r="E36" s="22" t="s">
        <v>136</v>
      </c>
      <c r="F36" s="47" t="str">
        <f t="shared" si="1"/>
        <v>✅</v>
      </c>
    </row>
    <row r="37" spans="1:6" s="24" customFormat="1" x14ac:dyDescent="0.25">
      <c r="A37" s="41"/>
      <c r="B37" s="23" t="s">
        <v>137</v>
      </c>
      <c r="C37" s="23"/>
      <c r="D37" s="23"/>
      <c r="F37" s="48"/>
    </row>
    <row r="38" spans="1:6" s="22" customFormat="1" x14ac:dyDescent="0.25">
      <c r="A38" s="40" t="s">
        <v>139</v>
      </c>
      <c r="B38" s="22" t="s">
        <v>69</v>
      </c>
      <c r="C38" s="15" t="s">
        <v>56</v>
      </c>
      <c r="D38" s="31" t="str">
        <f t="shared" ref="D38:D46" si="4">IF(ISNUMBER(SEARCH(COLLATERAL_TYPE,E38)),C38,"")</f>
        <v>Căn hộ chung cư số 3708</v>
      </c>
      <c r="E38" s="22" t="s">
        <v>136</v>
      </c>
      <c r="F38" s="47" t="str">
        <f t="shared" si="1"/>
        <v>✅</v>
      </c>
    </row>
    <row r="39" spans="1:6" s="25" customFormat="1" hidden="1" x14ac:dyDescent="0.25">
      <c r="A39" s="42" t="s">
        <v>140</v>
      </c>
      <c r="B39" s="25" t="s">
        <v>60</v>
      </c>
      <c r="D39" s="26" t="str">
        <f t="shared" si="4"/>
        <v/>
      </c>
      <c r="E39" s="25" t="s">
        <v>127</v>
      </c>
      <c r="F39" s="49" t="str">
        <f t="shared" si="1"/>
        <v>⚠ Bắt buộc</v>
      </c>
    </row>
    <row r="40" spans="1:6" s="22" customFormat="1" x14ac:dyDescent="0.25">
      <c r="A40" s="40" t="s">
        <v>141</v>
      </c>
      <c r="B40" s="22" t="s">
        <v>18</v>
      </c>
      <c r="C40" s="15">
        <v>0</v>
      </c>
      <c r="D40" s="31">
        <f t="shared" si="4"/>
        <v>0</v>
      </c>
      <c r="E40" s="22" t="s">
        <v>151</v>
      </c>
      <c r="F40" s="47"/>
    </row>
    <row r="41" spans="1:6" s="22" customFormat="1" x14ac:dyDescent="0.25">
      <c r="A41" s="40" t="s">
        <v>142</v>
      </c>
      <c r="B41" s="22" t="s">
        <v>19</v>
      </c>
      <c r="C41" s="15">
        <v>105</v>
      </c>
      <c r="D41" s="31">
        <f t="shared" si="4"/>
        <v>105</v>
      </c>
      <c r="E41" s="22" t="s">
        <v>136</v>
      </c>
      <c r="F41" s="47" t="str">
        <f t="shared" si="1"/>
        <v>✅</v>
      </c>
    </row>
    <row r="42" spans="1:6" s="22" customFormat="1" x14ac:dyDescent="0.25">
      <c r="A42" s="40" t="s">
        <v>143</v>
      </c>
      <c r="B42" s="22" t="s">
        <v>70</v>
      </c>
      <c r="C42" s="15" t="s">
        <v>71</v>
      </c>
      <c r="D42" s="31" t="str">
        <f t="shared" si="4"/>
        <v>Sở hữu riêng</v>
      </c>
      <c r="E42" s="22" t="s">
        <v>136</v>
      </c>
      <c r="F42" s="47" t="str">
        <f t="shared" si="1"/>
        <v>✅</v>
      </c>
    </row>
    <row r="43" spans="1:6" s="22" customFormat="1" x14ac:dyDescent="0.25">
      <c r="A43" s="40" t="s">
        <v>144</v>
      </c>
      <c r="B43" s="22" t="s">
        <v>20</v>
      </c>
      <c r="C43" s="15">
        <v>0</v>
      </c>
      <c r="D43" s="31">
        <f t="shared" si="4"/>
        <v>0</v>
      </c>
      <c r="E43" s="22" t="s">
        <v>151</v>
      </c>
      <c r="F43" s="47"/>
    </row>
    <row r="44" spans="1:6" s="22" customFormat="1" x14ac:dyDescent="0.25">
      <c r="A44" s="40" t="s">
        <v>145</v>
      </c>
      <c r="B44" s="22" t="s">
        <v>99</v>
      </c>
      <c r="C44" s="15" t="s">
        <v>66</v>
      </c>
      <c r="D44" s="31" t="str">
        <f t="shared" si="4"/>
        <v>Lâu dài</v>
      </c>
      <c r="E44" s="22" t="s">
        <v>136</v>
      </c>
      <c r="F44" s="47" t="str">
        <f t="shared" si="1"/>
        <v>✅</v>
      </c>
    </row>
    <row r="45" spans="1:6" s="25" customFormat="1" hidden="1" x14ac:dyDescent="0.25">
      <c r="A45" s="42" t="s">
        <v>160</v>
      </c>
      <c r="B45" s="25" t="s">
        <v>161</v>
      </c>
      <c r="C45" s="68"/>
      <c r="D45" s="26" t="str">
        <f t="shared" si="4"/>
        <v/>
      </c>
      <c r="E45" s="25" t="s">
        <v>127</v>
      </c>
      <c r="F45" s="49"/>
    </row>
    <row r="46" spans="1:6" s="22" customFormat="1" ht="120" x14ac:dyDescent="0.25">
      <c r="A46" s="40" t="s">
        <v>152</v>
      </c>
      <c r="B46" s="22" t="s">
        <v>22</v>
      </c>
      <c r="C46" s="33" t="s">
        <v>72</v>
      </c>
      <c r="D46" s="37" t="str">
        <f t="shared" si="4"/>
        <v>- Số tờ, số thửa và sơ đồ sẽ được điều chỉnh khi có bản đồ địa chính chính quy.
- Giấy chứng nhận này được cấp đổi từ Giấy chứng nhận quyền sử dụng đất, quyền sở hữu nhà ở và tài sản khác gắn liền với đất số DO 690791 do Chi nhánh Văn phòng đăng ký đất đai Hà Nội quận Bắc Từ Liêm cấp ngày 05/4/2024; do nhận chuyển nhượng theo Hợp đồng mua bán căn hộ chung cư số công chứng 1849 lập ngày 16/4/2024 tại Văn phòng công chứng Mỹ Đình.</v>
      </c>
      <c r="E46" s="22" t="s">
        <v>136</v>
      </c>
      <c r="F46" s="47" t="str">
        <f t="shared" si="1"/>
        <v>✅</v>
      </c>
    </row>
    <row r="47" spans="1:6" s="24" customFormat="1" x14ac:dyDescent="0.25">
      <c r="A47" s="43"/>
      <c r="E47" s="24" t="s">
        <v>136</v>
      </c>
      <c r="F47" s="48"/>
    </row>
    <row r="48" spans="1:6" s="22" customFormat="1" ht="30" x14ac:dyDescent="0.25">
      <c r="A48" s="40" t="s">
        <v>57</v>
      </c>
      <c r="B48" s="22" t="s">
        <v>58</v>
      </c>
      <c r="C48" s="33" t="s">
        <v>59</v>
      </c>
      <c r="D48" s="28" t="str">
        <f t="shared" ref="D48:D53" si="5">C48</f>
        <v>Giấy chứng nhận quyền sử dụng đất quyền sở hữu nhà ở và tài sản khác gắn liền với đất</v>
      </c>
      <c r="E48" s="22" t="s">
        <v>136</v>
      </c>
      <c r="F48" s="47" t="str">
        <f t="shared" si="1"/>
        <v>✅</v>
      </c>
    </row>
    <row r="49" spans="1:6" s="22" customFormat="1" x14ac:dyDescent="0.25">
      <c r="A49" s="40" t="s">
        <v>14</v>
      </c>
      <c r="B49" s="22" t="s">
        <v>46</v>
      </c>
      <c r="C49" s="15" t="s">
        <v>47</v>
      </c>
      <c r="D49" s="28" t="str">
        <f t="shared" si="5"/>
        <v>DO 304599</v>
      </c>
      <c r="E49" s="22" t="s">
        <v>136</v>
      </c>
      <c r="F49" s="47" t="str">
        <f t="shared" si="1"/>
        <v>✅</v>
      </c>
    </row>
    <row r="50" spans="1:6" s="22" customFormat="1" x14ac:dyDescent="0.25">
      <c r="A50" s="40" t="s">
        <v>15</v>
      </c>
      <c r="B50" s="22" t="s">
        <v>48</v>
      </c>
      <c r="C50" s="15" t="s">
        <v>49</v>
      </c>
      <c r="D50" s="28" t="str">
        <f t="shared" si="5"/>
        <v>VP20025</v>
      </c>
      <c r="E50" s="22" t="s">
        <v>136</v>
      </c>
      <c r="F50" s="47" t="str">
        <f t="shared" si="1"/>
        <v>✅</v>
      </c>
    </row>
    <row r="51" spans="1:6" s="22" customFormat="1" x14ac:dyDescent="0.25">
      <c r="A51" s="40" t="s">
        <v>16</v>
      </c>
      <c r="B51" s="22" t="s">
        <v>50</v>
      </c>
      <c r="C51" s="15" t="s">
        <v>51</v>
      </c>
      <c r="D51" s="28" t="str">
        <f t="shared" si="5"/>
        <v>Văn phòng đăng ký đất đai Hà Nội</v>
      </c>
      <c r="E51" s="22" t="s">
        <v>136</v>
      </c>
      <c r="F51" s="47" t="str">
        <f t="shared" si="1"/>
        <v>✅</v>
      </c>
    </row>
    <row r="52" spans="1:6" s="22" customFormat="1" x14ac:dyDescent="0.25">
      <c r="A52" s="40" t="s">
        <v>17</v>
      </c>
      <c r="B52" s="22" t="s">
        <v>52</v>
      </c>
      <c r="C52" s="17">
        <v>46023</v>
      </c>
      <c r="D52" s="29">
        <f t="shared" si="5"/>
        <v>46023</v>
      </c>
      <c r="E52" s="22" t="s">
        <v>136</v>
      </c>
      <c r="F52" s="47" t="str">
        <f t="shared" si="1"/>
        <v>✅</v>
      </c>
    </row>
    <row r="53" spans="1:6" s="22" customFormat="1" x14ac:dyDescent="0.25">
      <c r="A53" s="40" t="s">
        <v>55</v>
      </c>
      <c r="B53" s="22" t="s">
        <v>122</v>
      </c>
      <c r="C53" s="34" t="s">
        <v>120</v>
      </c>
      <c r="D53" s="30" t="str">
        <f t="shared" si="5"/>
        <v>Bà Thịnh Nát và Ông Hưng Phệ</v>
      </c>
      <c r="E53" s="22" t="s">
        <v>136</v>
      </c>
      <c r="F53" s="47" t="str">
        <f t="shared" si="1"/>
        <v>✅</v>
      </c>
    </row>
    <row r="54" spans="1:6" s="22" customFormat="1" ht="120" x14ac:dyDescent="0.25">
      <c r="A54" s="40" t="s">
        <v>21</v>
      </c>
      <c r="B54" s="22" t="s">
        <v>22</v>
      </c>
      <c r="C54" s="35" t="s">
        <v>72</v>
      </c>
      <c r="D54" s="27" t="str">
        <f t="shared" ref="D54:D55" si="6">C54</f>
        <v>- Số tờ, số thửa và sơ đồ sẽ được điều chỉnh khi có bản đồ địa chính chính quy.
- Giấy chứng nhận này được cấp đổi từ Giấy chứng nhận quyền sử dụng đất, quyền sở hữu nhà ở và tài sản khác gắn liền với đất số DO 690791 do Chi nhánh Văn phòng đăng ký đất đai Hà Nội quận Bắc Từ Liêm cấp ngày 05/4/2024; do nhận chuyển nhượng theo Hợp đồng mua bán căn hộ chung cư số công chứng 1849 lập ngày 16/4/2024 tại Văn phòng công chứng Mỹ Đình.</v>
      </c>
      <c r="E54" s="22" t="s">
        <v>136</v>
      </c>
      <c r="F54" s="47" t="str">
        <f t="shared" si="1"/>
        <v>✅</v>
      </c>
    </row>
    <row r="55" spans="1:6" s="22" customFormat="1" x14ac:dyDescent="0.25">
      <c r="A55" s="40" t="s">
        <v>73</v>
      </c>
      <c r="B55" s="22" t="s">
        <v>164</v>
      </c>
      <c r="C55" s="36">
        <v>20000000</v>
      </c>
      <c r="D55" s="32">
        <f t="shared" si="6"/>
        <v>20000000</v>
      </c>
      <c r="E55" s="22" t="s">
        <v>136</v>
      </c>
      <c r="F55" s="47" t="str">
        <f t="shared" si="1"/>
        <v>✅</v>
      </c>
    </row>
    <row r="56" spans="1:6" s="22" customFormat="1" x14ac:dyDescent="0.25">
      <c r="A56" s="40" t="s">
        <v>74</v>
      </c>
      <c r="C56" s="15" t="s">
        <v>380</v>
      </c>
      <c r="D56" s="31" t="str" cm="1">
        <f t="array" ref="D56">vnd_to_words(D55,0,0)</f>
        <v>Hai mươi triệu đồng</v>
      </c>
      <c r="E56" s="22" t="s">
        <v>136</v>
      </c>
      <c r="F56" s="47"/>
    </row>
    <row r="57" spans="1:6" s="22" customFormat="1" x14ac:dyDescent="0.25">
      <c r="A57" s="40" t="s">
        <v>75</v>
      </c>
      <c r="C57" s="15"/>
      <c r="D57" s="32">
        <f>C55*C41</f>
        <v>2100000000</v>
      </c>
      <c r="E57" s="22" t="s">
        <v>136</v>
      </c>
      <c r="F57" s="47"/>
    </row>
    <row r="58" spans="1:6" s="22" customFormat="1" x14ac:dyDescent="0.25">
      <c r="A58" s="40" t="s">
        <v>76</v>
      </c>
      <c r="C58" s="15" t="s">
        <v>381</v>
      </c>
      <c r="D58" s="22" t="str" cm="1">
        <f t="array" ref="D58">vnd_to_words(D57,0,0)</f>
        <v>Hai tỷ một trăm triệu đồng</v>
      </c>
      <c r="E58" s="22" t="s">
        <v>136</v>
      </c>
      <c r="F58" s="47"/>
    </row>
    <row r="59" spans="1:6" x14ac:dyDescent="0.25">
      <c r="A59" s="38" t="s">
        <v>156</v>
      </c>
      <c r="B59" t="s">
        <v>157</v>
      </c>
      <c r="C59" s="24"/>
      <c r="D59" t="str">
        <f>IF(C27="QSDĐ","Quyền sử dụng đất",IF(C27="CHCC","Quyền sở hữu Căn hộ chung cư","Quyền sử dụng đất và quyền sở hữu tài sản gắn liền với đất"))</f>
        <v>Quyền sử dụng đất</v>
      </c>
    </row>
    <row r="60" spans="1:6" x14ac:dyDescent="0.25">
      <c r="A60" s="38" t="s">
        <v>158</v>
      </c>
      <c r="B60" t="s">
        <v>159</v>
      </c>
      <c r="C60" s="24"/>
      <c r="D60" s="1" t="str" cm="1">
        <f t="array" ref="D60">number_to_words(D32,1,0)</f>
        <v>Ba trăm sáu mươi phẩy không</v>
      </c>
    </row>
    <row r="61" spans="1:6" x14ac:dyDescent="0.25">
      <c r="A61" s="38" t="s">
        <v>162</v>
      </c>
      <c r="B61" t="s">
        <v>163</v>
      </c>
      <c r="C61" s="24"/>
      <c r="D61" s="2">
        <f>IF(C27="CHCC",D41,D32)</f>
        <v>360</v>
      </c>
    </row>
    <row r="62" spans="1:6" x14ac:dyDescent="0.25">
      <c r="C62" s="2"/>
      <c r="D62" s="2"/>
    </row>
    <row r="64" spans="1:6" x14ac:dyDescent="0.25">
      <c r="C64" s="3"/>
      <c r="D64" s="3"/>
    </row>
    <row r="65" spans="3:4" x14ac:dyDescent="0.25">
      <c r="D65" s="6"/>
    </row>
    <row r="66" spans="3:4" x14ac:dyDescent="0.25">
      <c r="C66" s="5"/>
    </row>
    <row r="71" spans="3:4" x14ac:dyDescent="0.25">
      <c r="D71" t="str">
        <f t="shared" ref="D71:D87" si="7">IF(ISBLANK(C71),"",C71)</f>
        <v/>
      </c>
    </row>
    <row r="72" spans="3:4" x14ac:dyDescent="0.25">
      <c r="D72" t="str">
        <f t="shared" si="7"/>
        <v/>
      </c>
    </row>
    <row r="73" spans="3:4" x14ac:dyDescent="0.25">
      <c r="D73" t="str">
        <f t="shared" si="7"/>
        <v/>
      </c>
    </row>
    <row r="74" spans="3:4" x14ac:dyDescent="0.25">
      <c r="D74" t="str">
        <f t="shared" si="7"/>
        <v/>
      </c>
    </row>
    <row r="76" spans="3:4" x14ac:dyDescent="0.25">
      <c r="D76" t="str">
        <f t="shared" si="7"/>
        <v/>
      </c>
    </row>
    <row r="77" spans="3:4" x14ac:dyDescent="0.25">
      <c r="D77" t="str">
        <f t="shared" si="7"/>
        <v/>
      </c>
    </row>
    <row r="78" spans="3:4" x14ac:dyDescent="0.25">
      <c r="D78" t="str">
        <f t="shared" si="7"/>
        <v/>
      </c>
    </row>
    <row r="79" spans="3:4" x14ac:dyDescent="0.25">
      <c r="D79" t="str">
        <f t="shared" si="7"/>
        <v/>
      </c>
    </row>
    <row r="80" spans="3:4" x14ac:dyDescent="0.25">
      <c r="D80" t="str">
        <f t="shared" si="7"/>
        <v/>
      </c>
    </row>
    <row r="81" spans="4:4" x14ac:dyDescent="0.25">
      <c r="D81" t="str">
        <f t="shared" si="7"/>
        <v/>
      </c>
    </row>
    <row r="82" spans="4:4" x14ac:dyDescent="0.25">
      <c r="D82" t="str">
        <f t="shared" si="7"/>
        <v/>
      </c>
    </row>
    <row r="83" spans="4:4" x14ac:dyDescent="0.25">
      <c r="D83" t="str">
        <f t="shared" si="7"/>
        <v/>
      </c>
    </row>
    <row r="84" spans="4:4" x14ac:dyDescent="0.25">
      <c r="D84" t="str">
        <f t="shared" si="7"/>
        <v/>
      </c>
    </row>
    <row r="85" spans="4:4" x14ac:dyDescent="0.25">
      <c r="D85" t="str">
        <f t="shared" si="7"/>
        <v/>
      </c>
    </row>
    <row r="86" spans="4:4" x14ac:dyDescent="0.25">
      <c r="D86" t="str">
        <f t="shared" si="7"/>
        <v/>
      </c>
    </row>
    <row r="87" spans="4:4" x14ac:dyDescent="0.25">
      <c r="D87" t="str">
        <f t="shared" si="7"/>
        <v/>
      </c>
    </row>
  </sheetData>
  <dataConsolidate/>
  <conditionalFormatting sqref="A2:A59">
    <cfRule type="duplicateValues" dxfId="1" priority="5"/>
  </conditionalFormatting>
  <conditionalFormatting sqref="A2:A184">
    <cfRule type="duplicateValues" dxfId="0" priority="7"/>
  </conditionalFormatting>
  <dataValidations count="4">
    <dataValidation type="list" allowBlank="1" showInputMessage="1" showErrorMessage="1" sqref="C6" xr:uid="{02B70275-CE8B-40EC-A0F7-1EE1F3BED3F5}">
      <formula1>"Ông,Bà"</formula1>
    </dataValidation>
    <dataValidation type="list" allowBlank="1" showInputMessage="1" showErrorMessage="1" sqref="C10 C22" xr:uid="{40C6CA2E-C2CF-4F77-935C-8BE6B6154ED2}">
      <formula1>"Căn cước công dân,Căn cước, Thẻ căn cước, Chứng minh nhân dân"</formula1>
    </dataValidation>
    <dataValidation type="list" allowBlank="1" showInputMessage="1" showErrorMessage="1" sqref="C16" xr:uid="{3411A6A1-0615-4615-A7B8-40E786D68BAF}">
      <formula1>"Đã kết hôn,Không phải đã kết hôn"</formula1>
    </dataValidation>
    <dataValidation type="list" allowBlank="1" showInputMessage="1" showErrorMessage="1" sqref="C27:C28" xr:uid="{926B6A2F-F9E4-43B4-B170-ED9965DD7FD8}">
      <formula1>"QSDĐ,QSDĐ+TSGLVĐ,CHCC"</formula1>
    </dataValidation>
  </dataValidations>
  <pageMargins left="0.7" right="0.7" top="0.75" bottom="0.75" header="0.3" footer="0.3"/>
  <pageSetup paperSize="9" orientation="portrait" r:id="rId1"/>
  <ignoredErrors>
    <ignoredError sqref="D11 D23 D15 F7" formula="1"/>
  </ignoredErrors>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138EFD-D60B-4A84-AEB3-50FEF47FD649}">
  <sheetPr codeName="Sheet1"/>
  <dimension ref="A1:E6"/>
  <sheetViews>
    <sheetView showGridLines="0" zoomScale="145" zoomScaleNormal="145" workbookViewId="0">
      <selection activeCell="C4" sqref="C4"/>
    </sheetView>
  </sheetViews>
  <sheetFormatPr defaultRowHeight="15" x14ac:dyDescent="0.25"/>
  <cols>
    <col min="2" max="2" width="13.5703125" bestFit="1" customWidth="1"/>
    <col min="3" max="3" width="31.140625" customWidth="1"/>
    <col min="4" max="4" width="30.85546875" bestFit="1" customWidth="1"/>
    <col min="5" max="5" width="14.85546875" customWidth="1"/>
  </cols>
  <sheetData>
    <row r="1" spans="1:5" x14ac:dyDescent="0.25">
      <c r="A1" s="67" t="s">
        <v>25</v>
      </c>
      <c r="B1" s="67" t="s">
        <v>26</v>
      </c>
      <c r="C1" s="67" t="s">
        <v>27</v>
      </c>
      <c r="D1" s="67" t="s">
        <v>28</v>
      </c>
      <c r="E1" s="67" t="s">
        <v>29</v>
      </c>
    </row>
    <row r="2" spans="1:5" x14ac:dyDescent="0.25">
      <c r="A2" t="s">
        <v>119</v>
      </c>
      <c r="B2" t="s">
        <v>100</v>
      </c>
      <c r="C2" t="s">
        <v>101</v>
      </c>
      <c r="D2" t="s">
        <v>102</v>
      </c>
      <c r="E2" t="s">
        <v>103</v>
      </c>
    </row>
    <row r="3" spans="1:5" x14ac:dyDescent="0.25">
      <c r="A3" t="s">
        <v>119</v>
      </c>
      <c r="B3" t="s">
        <v>104</v>
      </c>
      <c r="C3" t="s">
        <v>105</v>
      </c>
      <c r="D3" t="s">
        <v>106</v>
      </c>
      <c r="E3" t="s">
        <v>107</v>
      </c>
    </row>
    <row r="4" spans="1:5" x14ac:dyDescent="0.25">
      <c r="A4" t="s">
        <v>119</v>
      </c>
      <c r="B4" t="s">
        <v>108</v>
      </c>
      <c r="C4" t="s">
        <v>109</v>
      </c>
      <c r="D4" t="s">
        <v>110</v>
      </c>
      <c r="E4" t="s">
        <v>108</v>
      </c>
    </row>
    <row r="5" spans="1:5" x14ac:dyDescent="0.25">
      <c r="A5" t="s">
        <v>119</v>
      </c>
      <c r="B5" t="s">
        <v>111</v>
      </c>
      <c r="C5" t="s">
        <v>112</v>
      </c>
      <c r="D5" t="s">
        <v>113</v>
      </c>
      <c r="E5" t="s">
        <v>114</v>
      </c>
    </row>
    <row r="6" spans="1:5" x14ac:dyDescent="0.25">
      <c r="A6" t="s">
        <v>24</v>
      </c>
      <c r="B6" t="s">
        <v>116</v>
      </c>
      <c r="C6" t="s">
        <v>117</v>
      </c>
      <c r="D6" t="s">
        <v>118</v>
      </c>
      <c r="E6" t="s">
        <v>115</v>
      </c>
    </row>
  </sheetData>
  <dataValidations count="1">
    <dataValidation type="list" allowBlank="1" showInputMessage="1" showErrorMessage="1" sqref="A2:A1048576" xr:uid="{3D6EC787-9C5F-459B-B44B-5EEA5AFD9189}">
      <formula1>"YES,NO"</formula1>
    </dataValidation>
  </dataValidations>
  <pageMargins left="0.7" right="0.7" top="0.75" bottom="0.75" header="0.3" footer="0.3"/>
  <drawing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WELCOME</vt:lpstr>
      <vt:lpstr>INPUT</vt:lpstr>
      <vt:lpstr>TEMPLATES</vt:lpstr>
      <vt:lpstr>COLLATERAL_TYPE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Trung Anh Nguyen</dc:creator>
  <cp:lastModifiedBy>Trung Anh Nguyen</cp:lastModifiedBy>
  <cp:lastPrinted>2025-12-30T08:55:13Z</cp:lastPrinted>
  <dcterms:created xsi:type="dcterms:W3CDTF">2015-06-05T18:17:20Z</dcterms:created>
  <dcterms:modified xsi:type="dcterms:W3CDTF">2026-04-20T14:53:25Z</dcterms:modified>
</cp:coreProperties>
</file>