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0074E7AD-1516-4105-97EC-60A4ADF106D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WELCOME" sheetId="5" r:id="rId1"/>
    <sheet name="INPUT" sheetId="4" r:id="rId2"/>
    <sheet name="TEMPLATES" sheetId="11" r:id="rId3"/>
  </sheets>
  <functionGroups builtInGroupCount="19"/>
  <definedNames>
    <definedName name="COLLATERAL_TYPE">INPUT!$D$27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7" i="4" l="1"/>
  <c r="C60" i="4" a="1"/>
  <c r="C60" i="4" l="1"/>
  <c r="C59" i="4"/>
  <c r="D59" i="4" s="1"/>
  <c r="C3" i="4"/>
  <c r="F3" i="4" s="1"/>
  <c r="C18" i="4"/>
  <c r="D18" i="4" s="1"/>
  <c r="F55" i="4"/>
  <c r="F54" i="4"/>
  <c r="F53" i="4"/>
  <c r="F52" i="4"/>
  <c r="F51" i="4"/>
  <c r="F50" i="4"/>
  <c r="F49" i="4"/>
  <c r="F48" i="4"/>
  <c r="F46" i="4"/>
  <c r="F44" i="4"/>
  <c r="F42" i="4"/>
  <c r="F41" i="4"/>
  <c r="F39" i="4"/>
  <c r="F38" i="4"/>
  <c r="F36" i="4"/>
  <c r="F35" i="4"/>
  <c r="F34" i="4"/>
  <c r="F33" i="4"/>
  <c r="F32" i="4"/>
  <c r="F31" i="4"/>
  <c r="F30" i="4"/>
  <c r="F29" i="4"/>
  <c r="F26" i="4"/>
  <c r="F25" i="4"/>
  <c r="F24" i="4"/>
  <c r="F23" i="4"/>
  <c r="F22" i="4"/>
  <c r="F20" i="4"/>
  <c r="F19" i="4"/>
  <c r="F16" i="4"/>
  <c r="F15" i="4"/>
  <c r="F14" i="4"/>
  <c r="F13" i="4"/>
  <c r="F12" i="4"/>
  <c r="F11" i="4"/>
  <c r="F10" i="4"/>
  <c r="F8" i="4"/>
  <c r="F6" i="4"/>
  <c r="F5" i="4"/>
  <c r="F2" i="4"/>
  <c r="F7" i="4"/>
  <c r="C9" i="4"/>
  <c r="D9" i="4" s="1"/>
  <c r="C17" i="4"/>
  <c r="D17" i="4" s="1"/>
  <c r="C21" i="4"/>
  <c r="D21" i="4" s="1"/>
  <c r="D27" i="4"/>
  <c r="D51" i="4"/>
  <c r="D10" i="4"/>
  <c r="D22" i="4"/>
  <c r="D20" i="4"/>
  <c r="D8" i="4"/>
  <c r="D55" i="4"/>
  <c r="D54" i="4"/>
  <c r="D50" i="4"/>
  <c r="D49" i="4"/>
  <c r="D48" i="4"/>
  <c r="D53" i="4"/>
  <c r="D52" i="4"/>
  <c r="D14" i="4"/>
  <c r="D26" i="4"/>
  <c r="D25" i="4"/>
  <c r="D24" i="4"/>
  <c r="D23" i="4"/>
  <c r="D19" i="4"/>
  <c r="D16" i="4"/>
  <c r="D15" i="4"/>
  <c r="D13" i="4"/>
  <c r="D12" i="4"/>
  <c r="D11" i="4"/>
  <c r="D6" i="4"/>
  <c r="D58" i="4" a="1"/>
  <c r="D56" i="4" a="1"/>
  <c r="D30" i="4" l="1"/>
  <c r="C61" i="4"/>
  <c r="D61" i="4" s="1"/>
  <c r="D56" i="4"/>
  <c r="F9" i="4"/>
  <c r="F21" i="4"/>
  <c r="D45" i="4"/>
  <c r="D60" i="4"/>
  <c r="D4" i="4"/>
  <c r="F17" i="4"/>
  <c r="F18" i="4"/>
  <c r="F27" i="4"/>
  <c r="D46" i="4"/>
  <c r="D41" i="4"/>
  <c r="D43" i="4"/>
  <c r="D38" i="4"/>
  <c r="D39" i="4"/>
  <c r="D40" i="4"/>
  <c r="D42" i="4"/>
  <c r="D44" i="4"/>
  <c r="D29" i="4"/>
  <c r="D36" i="4"/>
  <c r="D35" i="4"/>
  <c r="D34" i="4"/>
  <c r="D33" i="4"/>
  <c r="D32" i="4"/>
  <c r="D31" i="4"/>
  <c r="D58" i="4"/>
  <c r="D7" i="4"/>
  <c r="D5" i="4"/>
  <c r="D3" i="4"/>
  <c r="D2" i="4"/>
  <c r="D87" i="4"/>
  <c r="D86" i="4"/>
  <c r="D85" i="4"/>
  <c r="D84" i="4"/>
  <c r="D83" i="4"/>
  <c r="D82" i="4"/>
  <c r="D81" i="4"/>
  <c r="D80" i="4"/>
  <c r="D79" i="4"/>
  <c r="D78" i="4"/>
  <c r="D77" i="4"/>
  <c r="D76" i="4"/>
  <c r="D74" i="4"/>
  <c r="D73" i="4"/>
  <c r="D72" i="4"/>
  <c r="D7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<sst xmlns="http://schemas.openxmlformats.org/spreadsheetml/2006/main" count="205" uniqueCount="166">
  <si>
    <t>GENDER</t>
  </si>
  <si>
    <t>HDCT</t>
  </si>
  <si>
    <t>CIF</t>
  </si>
  <si>
    <t>K_NO</t>
  </si>
  <si>
    <t>TEL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</si>
  <si>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</si>
  <si>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</si>
  <si>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</si>
  <si>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</si>
  <si>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</si>
  <si>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</si>
  <si>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</si>
  <si>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</si>
  <si>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K_DATE</t>
  </si>
  <si>
    <t>CERTNO</t>
  </si>
  <si>
    <t>CERTREF</t>
  </si>
  <si>
    <t>CERTISSUER</t>
  </si>
  <si>
    <t>CERTISSUEDATE</t>
  </si>
  <si>
    <t>Diện tích xây dựng</t>
  </si>
  <si>
    <t>Diện tích sàn</t>
  </si>
  <si>
    <t>Cấp (Hạng)</t>
  </si>
  <si>
    <t>CERT_NOTES</t>
  </si>
  <si>
    <t>Ghi chú</t>
  </si>
  <si>
    <t>Số hồ sơ</t>
  </si>
  <si>
    <t>YES</t>
  </si>
  <si>
    <t>selected</t>
  </si>
  <si>
    <t>templatecode</t>
  </si>
  <si>
    <t>description</t>
  </si>
  <si>
    <t>docx_file</t>
  </si>
  <si>
    <t>file_prefix</t>
  </si>
  <si>
    <t>Tên KH</t>
  </si>
  <si>
    <t>Số CIF</t>
  </si>
  <si>
    <t>Giới tính</t>
  </si>
  <si>
    <t>Số Định danh cá nhân/CCCD/CMND</t>
  </si>
  <si>
    <t>Nơi cấp</t>
  </si>
  <si>
    <t>Ngày cấp</t>
  </si>
  <si>
    <t>Số điện thoại</t>
  </si>
  <si>
    <t>Tình trạng hôn nhân</t>
  </si>
  <si>
    <t>Đã kết hôn</t>
  </si>
  <si>
    <t>isMarried</t>
  </si>
  <si>
    <t>Giới tính người phối ngẫu</t>
  </si>
  <si>
    <t>Ông</t>
  </si>
  <si>
    <t>Cục Cảnh sát Quản lý hành chính về trật tự xã hội</t>
  </si>
  <si>
    <t>Họ tên Vợ/Chồng</t>
  </si>
  <si>
    <t>Nguyễn Nhật Thịnh Nát</t>
  </si>
  <si>
    <t>Loại tài sản</t>
  </si>
  <si>
    <t>Số GCN</t>
  </si>
  <si>
    <t>DO 304599</t>
  </si>
  <si>
    <t>Số vào sổ cấp GCN</t>
  </si>
  <si>
    <t>VP20025</t>
  </si>
  <si>
    <t>Cơ quan cấp GCN</t>
  </si>
  <si>
    <t>Văn phòng đăng ký đất đai Hà Nội</t>
  </si>
  <si>
    <t>Ngày cấp GCN</t>
  </si>
  <si>
    <t>Thửa đất số</t>
  </si>
  <si>
    <t>Tờ bản đồ số</t>
  </si>
  <si>
    <t>ASS_OWNER</t>
  </si>
  <si>
    <t>Căn hộ chung cư số 3708</t>
  </si>
  <si>
    <t>CERTNAME</t>
  </si>
  <si>
    <t>Tên GCN</t>
  </si>
  <si>
    <t>Giấy chứng nhận quyền sử dụng đất quyền sở hữu nhà ở và tài sản khác gắn liền với đất</t>
  </si>
  <si>
    <t>Tên nhà chung cư</t>
  </si>
  <si>
    <t>Hình thức sử dụng</t>
  </si>
  <si>
    <t>Sử dụng chung</t>
  </si>
  <si>
    <t>Mục đích sử dụng</t>
  </si>
  <si>
    <t>Đất ở tại đô thị</t>
  </si>
  <si>
    <t>Thời hạn sử dụng</t>
  </si>
  <si>
    <t>Lâu dài</t>
  </si>
  <si>
    <t>Nguồn gốc sử dụng</t>
  </si>
  <si>
    <t>Nhà nước giao đất có thu tiền sử dụng đất</t>
  </si>
  <si>
    <t>Loại nhà ở</t>
  </si>
  <si>
    <t>Hình thức sở hữu</t>
  </si>
  <si>
    <t>Sở hữu riêng</t>
  </si>
  <si>
    <t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t>
  </si>
  <si>
    <t>PRICE</t>
  </si>
  <si>
    <t>PRICE_IN_WORDS</t>
  </si>
  <si>
    <t>TOTAL_AMOUNT</t>
  </si>
  <si>
    <t>TOTAL_AMT_IN_WORDS</t>
  </si>
  <si>
    <t>SP_ABB</t>
  </si>
  <si>
    <t>Vợ/Chồng</t>
  </si>
  <si>
    <t>DOB</t>
  </si>
  <si>
    <t>Ngày sinh</t>
  </si>
  <si>
    <t>YOB</t>
  </si>
  <si>
    <t>Năm sinh</t>
  </si>
  <si>
    <t>PMN_CUS_ADD</t>
  </si>
  <si>
    <t>Địa chỉ thường trú Khách hàng</t>
  </si>
  <si>
    <t>SPC_DOB</t>
  </si>
  <si>
    <t>Ngày sinh vợ/chồng</t>
  </si>
  <si>
    <t>SPC_YOB</t>
  </si>
  <si>
    <t>Năm sinh vợ/chồng</t>
  </si>
  <si>
    <t>Địa chỉ thường trú Vợ/Chồng KH</t>
  </si>
  <si>
    <t>PMN_SPC_ADD</t>
  </si>
  <si>
    <t>Ngày làm hồ sơ</t>
  </si>
  <si>
    <t>K_YEAR</t>
  </si>
  <si>
    <t>Năm làm hồ sơ</t>
  </si>
  <si>
    <t>ID_TYPE</t>
  </si>
  <si>
    <t>Loại ID</t>
  </si>
  <si>
    <t>SPC_ID_TYPE</t>
  </si>
  <si>
    <t>Loại ID Vợ/Chồng</t>
  </si>
  <si>
    <t>Căn cước công dân</t>
  </si>
  <si>
    <t>Thời hạn sở hữu</t>
  </si>
  <si>
    <t>BCTS</t>
  </si>
  <si>
    <t>Báo cáo định giá giá trị tài sản</t>
  </si>
  <si>
    <t>BaoCaoDinhGiaGiaTriTaiSan.docx</t>
  </si>
  <si>
    <t>BaoCaoTaiSan</t>
  </si>
  <si>
    <t>BBDG</t>
  </si>
  <si>
    <t>Biên bản định giá</t>
  </si>
  <si>
    <t>BienBanDinhGia.docx</t>
  </si>
  <si>
    <t>BienBanDinhGia</t>
  </si>
  <si>
    <t>BBGN</t>
  </si>
  <si>
    <t>Biên bản giao nhận</t>
  </si>
  <si>
    <t>BienBanGiaoNhan.docx</t>
  </si>
  <si>
    <t>DKTC</t>
  </si>
  <si>
    <t>Đơn Đăng ký thế chấp</t>
  </si>
  <si>
    <t>DonDkyTheChap.docx</t>
  </si>
  <si>
    <t>DonDKTC</t>
  </si>
  <si>
    <t>HDTC</t>
  </si>
  <si>
    <t>HDBD</t>
  </si>
  <si>
    <t>Hợp đồng thế chấp</t>
  </si>
  <si>
    <t>HopDongTheChap.docx</t>
  </si>
  <si>
    <t>NO</t>
  </si>
  <si>
    <t>Bà Thịnh Nát và Ông Hưng Phệ</t>
  </si>
  <si>
    <t>SPC_GENDER</t>
  </si>
  <si>
    <t>Người mang tên Chủ sở hữu trên GCN</t>
  </si>
  <si>
    <t>Key</t>
  </si>
  <si>
    <t>Raw Input</t>
  </si>
  <si>
    <t>Formatted Output</t>
  </si>
  <si>
    <t>Applicable Types</t>
  </si>
  <si>
    <t>collateral_type</t>
  </si>
  <si>
    <t>CHCC</t>
  </si>
  <si>
    <t>thua_dat_so</t>
  </si>
  <si>
    <t>to_ban_do_so</t>
  </si>
  <si>
    <t>Địa chỉ</t>
  </si>
  <si>
    <t>Diện tích</t>
  </si>
  <si>
    <t>hinh_thuc_su_dung</t>
  </si>
  <si>
    <t>muc_dich_su_dung</t>
  </si>
  <si>
    <t>thoi_han_su_dung</t>
  </si>
  <si>
    <t>nguon_goc_su_dung</t>
  </si>
  <si>
    <t>QSDĐ,QSDĐ+TSGLVĐ,CHCC</t>
  </si>
  <si>
    <t>NHÀ Ở</t>
  </si>
  <si>
    <t>THỬA ĐẤT</t>
  </si>
  <si>
    <t>loai_nha_o</t>
  </si>
  <si>
    <t>ten_nha_chung_cu</t>
  </si>
  <si>
    <t>dien_tich_xay_dung</t>
  </si>
  <si>
    <t>dien_tich_san</t>
  </si>
  <si>
    <t>hinh_thuc_so_huu</t>
  </si>
  <si>
    <t>cap_hang</t>
  </si>
  <si>
    <t>thoi_han_so_huu</t>
  </si>
  <si>
    <t>Lê Trung Hưng Phệ</t>
  </si>
  <si>
    <t>Hải Phòng city boy</t>
  </si>
  <si>
    <t>Kim Liên Quan</t>
  </si>
  <si>
    <t>dien_tich_thua_dat</t>
  </si>
  <si>
    <t>Trấn Kim Liên, Phủ Thạch Thất, Sơn Tây Tỉnh</t>
  </si>
  <si>
    <t>QSDĐ,QSDĐ+TSGLVĐ</t>
  </si>
  <si>
    <t>ghi_chu</t>
  </si>
  <si>
    <t>Số ID của Vợ/Chồng</t>
  </si>
  <si>
    <t>Diễn giải</t>
  </si>
  <si>
    <t>dia_chi_thua_dat</t>
  </si>
  <si>
    <t>asstype</t>
  </si>
  <si>
    <t>Loại Bất động sản</t>
  </si>
  <si>
    <t>area_in_words</t>
  </si>
  <si>
    <t>Diện tích thửa đất bằng chữ</t>
  </si>
  <si>
    <t>hang_muc_so_huu_chung</t>
  </si>
  <si>
    <t>Hạng mục được sở hữu chung ngoài căn hộ</t>
  </si>
  <si>
    <t>area_pledged</t>
  </si>
  <si>
    <t>Diện tích tính giá trị TSBĐ</t>
  </si>
  <si>
    <t>Đơn giá định giá (trđ)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</si>
</sst>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"/>
    <numFmt numFmtId="165" formatCode="0.0"/>
    <numFmt numFmtId="166" formatCode="0###########0"/>
    <numFmt numFmtId="167" formatCode="0000000000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467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1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4" fontId="0" fillId="0" borderId="0" xfId="0" applyNumberFormat="1"/>
    <xf numFmtId="0" fontId="1" fillId="0" borderId="0" xfId="1"/>
    <xf numFmtId="0" fontId="0" fillId="0" borderId="0" xfId="0" applyAlignment="1">
      <alignment wrapText="1"/>
    </xf>
    <xf numFmtId="165" fontId="0" fillId="0" borderId="0" xfId="0" applyNumberFormat="1"/>
    <xf numFmtId="14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wrapText="1"/>
    </xf>
    <xf numFmtId="0" fontId="3" fillId="2" borderId="0" xfId="0" applyFont="1" applyFill="1"/>
    <xf numFmtId="0" fontId="3" fillId="2" borderId="0" xfId="0" applyFont="1" applyFill="1" applyAlignment="1">
      <alignment horizontal="right"/>
    </xf>
    <xf numFmtId="0" fontId="3" fillId="3" borderId="0" xfId="0" applyFont="1" applyFill="1" applyAlignment="1">
      <alignment horizontal="center"/>
    </xf>
    <xf numFmtId="0" fontId="2" fillId="4" borderId="0" xfId="0" applyFont="1" applyFill="1"/>
    <xf numFmtId="0" fontId="0" fillId="5" borderId="0" xfId="0" applyFill="1"/>
    <xf numFmtId="0" fontId="0" fillId="5" borderId="0" xfId="0" applyFill="1" applyAlignment="1">
      <alignment horizontal="right"/>
    </xf>
    <xf numFmtId="14" fontId="0" fillId="5" borderId="0" xfId="0" applyNumberFormat="1" applyFill="1" applyAlignment="1">
      <alignment horizontal="right"/>
    </xf>
    <xf numFmtId="166" fontId="0" fillId="5" borderId="0" xfId="0" applyNumberFormat="1" applyFill="1" applyAlignment="1">
      <alignment horizontal="right"/>
    </xf>
    <xf numFmtId="0" fontId="0" fillId="5" borderId="0" xfId="0" applyFill="1" applyAlignment="1">
      <alignment horizontal="right" wrapText="1"/>
    </xf>
    <xf numFmtId="167" fontId="0" fillId="5" borderId="0" xfId="0" applyNumberFormat="1" applyFill="1" applyAlignment="1">
      <alignment horizontal="right"/>
    </xf>
    <xf numFmtId="164" fontId="0" fillId="5" borderId="0" xfId="0" applyNumberFormat="1" applyFill="1"/>
    <xf numFmtId="0" fontId="0" fillId="6" borderId="0" xfId="0" applyFill="1"/>
    <xf numFmtId="0" fontId="2" fillId="7" borderId="0" xfId="0" applyFont="1" applyFill="1"/>
    <xf numFmtId="0" fontId="0" fillId="7" borderId="0" xfId="0" applyFill="1"/>
    <xf numFmtId="0" fontId="0" fillId="8" borderId="0" xfId="0" applyFill="1"/>
    <xf numFmtId="0" fontId="0" fillId="8" borderId="0" xfId="0" applyFill="1" applyAlignment="1">
      <alignment horizontal="right"/>
    </xf>
    <xf numFmtId="0" fontId="0" fillId="6" borderId="0" xfId="0" applyFill="1" applyAlignment="1">
      <alignment wrapText="1"/>
    </xf>
    <xf numFmtId="0" fontId="0" fillId="6" borderId="0" xfId="0" applyFill="1" applyAlignment="1">
      <alignment horizontal="right" wrapText="1"/>
    </xf>
    <xf numFmtId="14" fontId="0" fillId="6" borderId="0" xfId="0" applyNumberFormat="1" applyFill="1" applyAlignment="1">
      <alignment horizontal="right"/>
    </xf>
    <xf numFmtId="14" fontId="0" fillId="6" borderId="0" xfId="0" applyNumberFormat="1" applyFill="1" applyAlignment="1">
      <alignment horizontal="right" wrapText="1"/>
    </xf>
    <xf numFmtId="0" fontId="0" fillId="6" borderId="0" xfId="0" applyFill="1" applyAlignment="1">
      <alignment horizontal="right"/>
    </xf>
    <xf numFmtId="3" fontId="0" fillId="6" borderId="0" xfId="0" applyNumberFormat="1" applyFill="1"/>
    <xf numFmtId="0" fontId="0" fillId="5" borderId="0" xfId="0" applyFill="1" applyAlignment="1">
      <alignment wrapText="1"/>
    </xf>
    <xf numFmtId="14" fontId="0" fillId="5" borderId="0" xfId="0" applyNumberFormat="1" applyFill="1" applyAlignment="1">
      <alignment horizontal="right" wrapText="1"/>
    </xf>
    <xf numFmtId="0" fontId="0" fillId="5" borderId="0" xfId="0" quotePrefix="1" applyFill="1"/>
    <xf numFmtId="0" fontId="0" fillId="5" borderId="0" xfId="0" quotePrefix="1" applyFill="1" applyAlignment="1">
      <alignment wrapText="1"/>
    </xf>
    <xf numFmtId="3" fontId="0" fillId="5" borderId="0" xfId="0" applyNumberFormat="1" applyFill="1"/>
    <xf numFmtId="0" fontId="0" fillId="6" borderId="0" xfId="0" applyFill="1" applyAlignment="1">
      <alignment horizontal="left" wrapText="1"/>
    </xf>
    <xf numFmtId="0" fontId="4" fillId="0" borderId="0" xfId="0" applyFont="1"/>
    <xf numFmtId="0" fontId="5" fillId="4" borderId="0" xfId="0" applyFont="1" applyFill="1"/>
    <xf numFmtId="0" fontId="4" fillId="6" borderId="0" xfId="0" applyFont="1" applyFill="1"/>
    <xf numFmtId="0" fontId="5" fillId="7" borderId="0" xfId="0" applyFont="1" applyFill="1"/>
    <xf numFmtId="0" fontId="4" fillId="8" borderId="0" xfId="0" applyFont="1" applyFill="1"/>
    <xf numFmtId="0" fontId="4" fillId="7" borderId="0" xfId="0" applyFont="1" applyFill="1"/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4B4B4"/>
      <color rgb="FFFFFF99"/>
      <color rgb="FF0046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"/>
  <sheetViews>
    <sheetView workbookViewId="0"/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/>
  <dataValidations count="1">
    <dataValidation type="list" allowBlank="1" showInputMessage="1" showErrorMessage="1" sqref="B2" xr:uid="{0FFDB4C2-795B-4B75-8AEE-C22F586BBA81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87"/>
  <sheetViews>
    <sheetView showGridLines="0" tabSelected="1" zoomScaleNormal="100" workbookViewId="0">
      <pane ySplit="1" topLeftCell="A45" activePane="bottomLeft" state="frozen"/>
      <selection pane="bottomLeft" activeCell="D58" sqref="D58"/>
    </sheetView>
  </sheetViews>
  <sheetFormatPr defaultRowHeight="15" x14ac:dyDescent="0.25"/>
  <cols>
    <col min="1" max="1" width="26.140625" style="39" customWidth="1"/>
    <col min="2" max="2" width="43.85546875" customWidth="1"/>
    <col min="3" max="3" width="67.7109375" customWidth="1"/>
    <col min="4" max="4" width="61.7109375" customWidth="1"/>
    <col min="5" max="5" width="25" bestFit="1" customWidth="1"/>
    <col min="6" max="6" width="41.28515625" style="46" customWidth="1"/>
  </cols>
  <sheetData>
    <row r="1" spans="1:26" x14ac:dyDescent="0.25">
      <c r="A1" s="13" t="s">
        <v>123</v>
      </c>
      <c r="B1" s="13" t="s">
        <v>155</v>
      </c>
      <c r="C1" s="13" t="s">
        <v>124</v>
      </c>
      <c r="D1" s="13" t="s">
        <v>125</v>
      </c>
      <c r="E1" s="13" t="s">
        <v>126</v>
      </c>
      <c r="F1" s="45"/>
    </row>
    <row r="2" spans="1:26" x14ac:dyDescent="0.25">
      <c r="A2" s="39" t="s">
        <v>3</v>
      </c>
      <c r="B2" t="s">
        <v>23</v>
      </c>
      <c r="C2" s="21">
        <v>1</v>
      </c>
      <c r="D2" s="2" t="str">
        <f>TEXT(C2,"00")</f>
        <v>01</v>
      </c>
      <c r="F2" s="46" t="str">
        <f>IF(C2="","⚠ Bắt buộc","✅")</f>
        <v>✅</v>
      </c>
      <c r="Z2" t="s">
        <v>1</v>
      </c>
    </row>
    <row r="3" spans="1:26" x14ac:dyDescent="0.25">
      <c r="A3" s="39" t="s">
        <v>13</v>
      </c>
      <c r="B3" t="s">
        <v>91</v>
      </c>
      <c r="C3" s="17">
        <f ca="1">TODAY()</f>
        <v>46129</v>
      </c>
      <c r="D3" s="8">
        <f ca="1">C3</f>
        <v>46129</v>
      </c>
      <c r="F3" s="46" t="str">
        <f ca="1">IF(C3="","⚠ Bắt buộc","✅")</f>
        <v>✅</v>
      </c>
      <c r="H3" s="7"/>
    </row>
    <row r="4" spans="1:26" hidden="1" x14ac:dyDescent="0.25">
      <c r="A4" s="39" t="s">
        <v>92</v>
      </c>
      <c r="B4" t="s">
        <v>93</v>
      </c>
      <c r="C4" s="17"/>
      <c r="D4" s="2">
        <f ca="1">YEAR(C3)</f>
        <v>2026</v>
      </c>
      <c r="H4" s="7"/>
    </row>
    <row r="5" spans="1:26" x14ac:dyDescent="0.25">
      <c r="A5" s="39" t="s">
        <v>2</v>
      </c>
      <c r="B5" t="s">
        <v>31</v>
      </c>
      <c r="C5" s="16">
        <v>58585858</v>
      </c>
      <c r="D5" s="2">
        <f t="shared" ref="D5:D6" si="0">C5</f>
        <v>58585858</v>
      </c>
      <c r="E5" s="4"/>
      <c r="F5" s="46" t="str">
        <f>IF(C5="","⚠ Bắt buộc","✅")</f>
        <v>✅</v>
      </c>
    </row>
    <row r="6" spans="1:26" x14ac:dyDescent="0.25">
      <c r="A6" s="39" t="s">
        <v>0</v>
      </c>
      <c r="B6" t="s">
        <v>32</v>
      </c>
      <c r="C6" s="16" t="s">
        <v>41</v>
      </c>
      <c r="D6" s="2" t="str">
        <f t="shared" si="0"/>
        <v>Ông</v>
      </c>
      <c r="F6" s="46" t="str">
        <f>IF(C6="","⚠ Bắt buộc","✅")</f>
        <v>✅</v>
      </c>
    </row>
    <row r="7" spans="1:26" x14ac:dyDescent="0.25">
      <c r="A7" s="39" t="s">
        <v>5</v>
      </c>
      <c r="B7" t="s">
        <v>30</v>
      </c>
      <c r="C7" s="16" t="s">
        <v>44</v>
      </c>
      <c r="D7" s="2" t="str">
        <f>C7</f>
        <v>Nguyễn Nhật Thịnh Nát</v>
      </c>
      <c r="F7" s="46" t="str">
        <f>IF(C29="","⚠ Bắt buộc","✅")</f>
        <v>✅</v>
      </c>
    </row>
    <row r="8" spans="1:26" x14ac:dyDescent="0.25">
      <c r="A8" s="39" t="s">
        <v>79</v>
      </c>
      <c r="B8" t="s">
        <v>80</v>
      </c>
      <c r="C8" s="17">
        <v>34561</v>
      </c>
      <c r="D8" s="8">
        <f>C8</f>
        <v>34561</v>
      </c>
      <c r="F8" s="46" t="str">
        <f t="shared" ref="F8:F55" si="1">IF(C8="","⚠ Bắt buộc","✅")</f>
        <v>✅</v>
      </c>
    </row>
    <row r="9" spans="1:26" hidden="1" x14ac:dyDescent="0.25">
      <c r="A9" s="39" t="s">
        <v>81</v>
      </c>
      <c r="B9" t="s">
        <v>82</v>
      </c>
      <c r="C9" s="16">
        <f>YEAR(C8)</f>
        <v>1994</v>
      </c>
      <c r="D9" s="2">
        <f>C9</f>
        <v>1994</v>
      </c>
      <c r="F9" s="46" t="str">
        <f t="shared" si="1"/>
        <v>✅</v>
      </c>
    </row>
    <row r="10" spans="1:26" x14ac:dyDescent="0.25">
      <c r="A10" s="39" t="s">
        <v>94</v>
      </c>
      <c r="B10" t="s">
        <v>95</v>
      </c>
      <c r="C10" s="16" t="s">
        <v>98</v>
      </c>
      <c r="D10" s="2" t="str">
        <f>C10</f>
        <v>Căn cước công dân</v>
      </c>
      <c r="F10" s="46" t="str">
        <f t="shared" si="1"/>
        <v>✅</v>
      </c>
    </row>
    <row r="11" spans="1:26" x14ac:dyDescent="0.25">
      <c r="A11" s="39" t="s">
        <v>6</v>
      </c>
      <c r="B11" t="s">
        <v>33</v>
      </c>
      <c r="C11" s="18">
        <v>31095222222</v>
      </c>
      <c r="D11" s="9" t="str">
        <f>IF(LEN(C11)&lt;=9,TEXT(C11,"000000000"),TEXT(C11,"000000000000"))</f>
        <v>031095222222</v>
      </c>
      <c r="F11" s="46" t="str">
        <f t="shared" si="1"/>
        <v>✅</v>
      </c>
    </row>
    <row r="12" spans="1:26" x14ac:dyDescent="0.25">
      <c r="A12" s="39" t="s">
        <v>8</v>
      </c>
      <c r="B12" t="s">
        <v>35</v>
      </c>
      <c r="C12" s="17">
        <v>46023</v>
      </c>
      <c r="D12" s="8">
        <f>C12</f>
        <v>46023</v>
      </c>
      <c r="F12" s="46" t="str">
        <f t="shared" si="1"/>
        <v>✅</v>
      </c>
    </row>
    <row r="13" spans="1:26" x14ac:dyDescent="0.25">
      <c r="A13" s="39" t="s">
        <v>7</v>
      </c>
      <c r="B13" t="s">
        <v>34</v>
      </c>
      <c r="C13" s="19" t="s">
        <v>42</v>
      </c>
      <c r="D13" s="10" t="str">
        <f>C13</f>
        <v>Cục Cảnh sát Quản lý hành chính về trật tự xã hội</v>
      </c>
      <c r="F13" s="46" t="str">
        <f t="shared" si="1"/>
        <v>✅</v>
      </c>
    </row>
    <row r="14" spans="1:26" x14ac:dyDescent="0.25">
      <c r="A14" s="39" t="s">
        <v>83</v>
      </c>
      <c r="B14" t="s">
        <v>84</v>
      </c>
      <c r="C14" s="16" t="s">
        <v>148</v>
      </c>
      <c r="D14" s="2" t="str">
        <f>C14</f>
        <v>Hải Phòng city boy</v>
      </c>
      <c r="F14" s="46" t="str">
        <f t="shared" si="1"/>
        <v>✅</v>
      </c>
    </row>
    <row r="15" spans="1:26" x14ac:dyDescent="0.25">
      <c r="A15" s="39" t="s">
        <v>4</v>
      </c>
      <c r="B15" t="s">
        <v>36</v>
      </c>
      <c r="C15" s="20">
        <v>987500883</v>
      </c>
      <c r="D15" s="2" t="str">
        <f>TEXT(C15,"0000000000")</f>
        <v>0987500883</v>
      </c>
      <c r="F15" s="46" t="str">
        <f t="shared" si="1"/>
        <v>✅</v>
      </c>
    </row>
    <row r="16" spans="1:26" x14ac:dyDescent="0.25">
      <c r="A16" s="39" t="s">
        <v>39</v>
      </c>
      <c r="B16" t="s">
        <v>37</v>
      </c>
      <c r="C16" s="16" t="s">
        <v>38</v>
      </c>
      <c r="D16" s="2" t="str">
        <f t="shared" ref="D16:D22" si="2">C16</f>
        <v>Đã kết hôn</v>
      </c>
      <c r="F16" s="46" t="str">
        <f t="shared" si="1"/>
        <v>✅</v>
      </c>
    </row>
    <row r="17" spans="1:6" hidden="1" x14ac:dyDescent="0.25">
      <c r="A17" s="39" t="s">
        <v>77</v>
      </c>
      <c r="B17" t="s">
        <v>78</v>
      </c>
      <c r="C17" s="16" t="str">
        <f>IF(C16="Đã kết hôn",
         IF(C6="Ông","vợ","chồng"),
         "")</f>
        <v>vợ</v>
      </c>
      <c r="D17" s="2" t="str">
        <f t="shared" si="2"/>
        <v>vợ</v>
      </c>
      <c r="F17" s="46" t="str">
        <f t="shared" si="1"/>
        <v>✅</v>
      </c>
    </row>
    <row r="18" spans="1:6" hidden="1" x14ac:dyDescent="0.25">
      <c r="A18" s="39" t="s">
        <v>121</v>
      </c>
      <c r="B18" t="s">
        <v>40</v>
      </c>
      <c r="C18" s="16" t="str">
        <f>IF(C6="Ông","Bà","Ông")</f>
        <v>Bà</v>
      </c>
      <c r="D18" s="2" t="str">
        <f t="shared" si="2"/>
        <v>Bà</v>
      </c>
      <c r="F18" s="46" t="str">
        <f t="shared" si="1"/>
        <v>✅</v>
      </c>
    </row>
    <row r="19" spans="1:6" x14ac:dyDescent="0.25">
      <c r="A19" s="39" t="s">
        <v>9</v>
      </c>
      <c r="B19" t="s">
        <v>43</v>
      </c>
      <c r="C19" s="16" t="s">
        <v>147</v>
      </c>
      <c r="D19" s="2" t="str">
        <f t="shared" si="2"/>
        <v>Lê Trung Hưng Phệ</v>
      </c>
      <c r="F19" s="46" t="str">
        <f t="shared" si="1"/>
        <v>✅</v>
      </c>
    </row>
    <row r="20" spans="1:6" x14ac:dyDescent="0.25">
      <c r="A20" s="39" t="s">
        <v>85</v>
      </c>
      <c r="B20" t="s">
        <v>86</v>
      </c>
      <c r="C20" s="17">
        <v>33465</v>
      </c>
      <c r="D20" s="8">
        <f t="shared" si="2"/>
        <v>33465</v>
      </c>
      <c r="F20" s="46" t="str">
        <f t="shared" si="1"/>
        <v>✅</v>
      </c>
    </row>
    <row r="21" spans="1:6" hidden="1" x14ac:dyDescent="0.25">
      <c r="A21" s="39" t="s">
        <v>87</v>
      </c>
      <c r="B21" t="s">
        <v>88</v>
      </c>
      <c r="C21" s="16">
        <f>YEAR(C20)</f>
        <v>1991</v>
      </c>
      <c r="D21" s="2">
        <f t="shared" si="2"/>
        <v>1991</v>
      </c>
      <c r="F21" s="46" t="str">
        <f t="shared" si="1"/>
        <v>✅</v>
      </c>
    </row>
    <row r="22" spans="1:6" x14ac:dyDescent="0.25">
      <c r="A22" s="39" t="s">
        <v>96</v>
      </c>
      <c r="B22" t="s">
        <v>97</v>
      </c>
      <c r="C22" s="16" t="s">
        <v>98</v>
      </c>
      <c r="D22" s="2" t="str">
        <f t="shared" si="2"/>
        <v>Căn cước công dân</v>
      </c>
      <c r="F22" s="46" t="str">
        <f t="shared" si="1"/>
        <v>✅</v>
      </c>
    </row>
    <row r="23" spans="1:6" x14ac:dyDescent="0.25">
      <c r="A23" s="39" t="s">
        <v>10</v>
      </c>
      <c r="B23" t="s">
        <v>154</v>
      </c>
      <c r="C23" s="18">
        <v>1091000254</v>
      </c>
      <c r="D23" s="9" t="str">
        <f>IF(LEN(C23)&lt;=9,TEXT(C23,"000000000"),TEXT(C23,"000000000000"))</f>
        <v>001091000254</v>
      </c>
      <c r="F23" s="46" t="str">
        <f t="shared" si="1"/>
        <v>✅</v>
      </c>
    </row>
    <row r="24" spans="1:6" x14ac:dyDescent="0.25">
      <c r="A24" s="39" t="s">
        <v>12</v>
      </c>
      <c r="B24" t="s">
        <v>35</v>
      </c>
      <c r="C24" s="17">
        <v>46023</v>
      </c>
      <c r="D24" s="8">
        <f>C24</f>
        <v>46023</v>
      </c>
      <c r="F24" s="46" t="str">
        <f t="shared" si="1"/>
        <v>✅</v>
      </c>
    </row>
    <row r="25" spans="1:6" x14ac:dyDescent="0.25">
      <c r="A25" s="39" t="s">
        <v>11</v>
      </c>
      <c r="B25" t="s">
        <v>34</v>
      </c>
      <c r="C25" s="19" t="s">
        <v>42</v>
      </c>
      <c r="D25" s="10" t="str">
        <f>C25</f>
        <v>Cục Cảnh sát Quản lý hành chính về trật tự xã hội</v>
      </c>
      <c r="F25" s="46" t="str">
        <f t="shared" si="1"/>
        <v>✅</v>
      </c>
    </row>
    <row r="26" spans="1:6" x14ac:dyDescent="0.25">
      <c r="A26" s="39" t="s">
        <v>90</v>
      </c>
      <c r="B26" t="s">
        <v>89</v>
      </c>
      <c r="C26" s="16" t="s">
        <v>149</v>
      </c>
      <c r="D26" s="2" t="str">
        <f>C26</f>
        <v>Kim Liên Quan</v>
      </c>
      <c r="F26" s="46" t="str">
        <f t="shared" si="1"/>
        <v>✅</v>
      </c>
    </row>
    <row r="27" spans="1:6" x14ac:dyDescent="0.25">
      <c r="A27" s="11" t="s">
        <v>127</v>
      </c>
      <c r="B27" s="11" t="s">
        <v>45</v>
      </c>
      <c r="C27" s="11" t="s">
        <v>128</v>
      </c>
      <c r="D27" s="12" t="str">
        <f>C27</f>
        <v>CHCC</v>
      </c>
      <c r="F27" s="47" t="str">
        <f>IF(D27="QSDĐ","🏡 Quyền sử dụng đất",IF(D27="QSDĐ+TSGLVĐ","🏠 Đất + Tài sản trên đất",IF(D27="CHCC","🏢 Căn hộ chung cư","")))</f>
        <v>🏢 Căn hộ chung cư</v>
      </c>
    </row>
    <row r="28" spans="1:6" x14ac:dyDescent="0.25">
      <c r="A28" s="40"/>
      <c r="B28" s="14" t="s">
        <v>139</v>
      </c>
      <c r="C28" s="14"/>
      <c r="D28" s="14"/>
      <c r="E28" t="s">
        <v>137</v>
      </c>
    </row>
    <row r="29" spans="1:6" s="22" customFormat="1" x14ac:dyDescent="0.25">
      <c r="A29" s="41" t="s">
        <v>129</v>
      </c>
      <c r="B29" s="22" t="s">
        <v>53</v>
      </c>
      <c r="C29" s="15">
        <v>1</v>
      </c>
      <c r="D29" s="22">
        <f t="shared" ref="D29:D36" si="3">IF(ISNUMBER(SEARCH(COLLATERAL_TYPE,E29)),C29,"")</f>
        <v>1</v>
      </c>
      <c r="E29" s="22" t="s">
        <v>137</v>
      </c>
      <c r="F29" s="48" t="str">
        <f t="shared" si="1"/>
        <v>✅</v>
      </c>
    </row>
    <row r="30" spans="1:6" s="22" customFormat="1" x14ac:dyDescent="0.25">
      <c r="A30" s="41" t="s">
        <v>130</v>
      </c>
      <c r="B30" s="22" t="s">
        <v>54</v>
      </c>
      <c r="C30" s="15">
        <v>2</v>
      </c>
      <c r="D30" s="22">
        <f t="shared" si="3"/>
        <v>2</v>
      </c>
      <c r="E30" s="22" t="s">
        <v>137</v>
      </c>
      <c r="F30" s="48" t="str">
        <f t="shared" si="1"/>
        <v>✅</v>
      </c>
    </row>
    <row r="31" spans="1:6" s="22" customFormat="1" x14ac:dyDescent="0.25">
      <c r="A31" s="41" t="s">
        <v>156</v>
      </c>
      <c r="B31" s="22" t="s">
        <v>131</v>
      </c>
      <c r="C31" s="16" t="s">
        <v>151</v>
      </c>
      <c r="D31" s="31" t="str">
        <f t="shared" si="3"/>
        <v>Trấn Kim Liên, Phủ Thạch Thất, Sơn Tây Tỉnh</v>
      </c>
      <c r="E31" s="22" t="s">
        <v>137</v>
      </c>
      <c r="F31" s="48" t="str">
        <f t="shared" si="1"/>
        <v>✅</v>
      </c>
    </row>
    <row r="32" spans="1:6" s="22" customFormat="1" x14ac:dyDescent="0.25">
      <c r="A32" s="41" t="s">
        <v>150</v>
      </c>
      <c r="B32" s="22" t="s">
        <v>132</v>
      </c>
      <c r="C32" s="15">
        <v>360</v>
      </c>
      <c r="D32" s="22">
        <f t="shared" si="3"/>
        <v>360</v>
      </c>
      <c r="E32" s="22" t="s">
        <v>137</v>
      </c>
      <c r="F32" s="48" t="str">
        <f t="shared" si="1"/>
        <v>✅</v>
      </c>
    </row>
    <row r="33" spans="1:6" s="22" customFormat="1" x14ac:dyDescent="0.25">
      <c r="A33" s="41" t="s">
        <v>133</v>
      </c>
      <c r="B33" s="22" t="s">
        <v>61</v>
      </c>
      <c r="C33" s="15" t="s">
        <v>62</v>
      </c>
      <c r="D33" s="31" t="str">
        <f t="shared" si="3"/>
        <v>Sử dụng chung</v>
      </c>
      <c r="E33" s="22" t="s">
        <v>137</v>
      </c>
      <c r="F33" s="48" t="str">
        <f t="shared" si="1"/>
        <v>✅</v>
      </c>
    </row>
    <row r="34" spans="1:6" s="22" customFormat="1" x14ac:dyDescent="0.25">
      <c r="A34" s="41" t="s">
        <v>134</v>
      </c>
      <c r="B34" s="22" t="s">
        <v>63</v>
      </c>
      <c r="C34" s="15" t="s">
        <v>64</v>
      </c>
      <c r="D34" s="31" t="str">
        <f t="shared" si="3"/>
        <v>Đất ở tại đô thị</v>
      </c>
      <c r="E34" s="22" t="s">
        <v>137</v>
      </c>
      <c r="F34" s="48" t="str">
        <f t="shared" si="1"/>
        <v>✅</v>
      </c>
    </row>
    <row r="35" spans="1:6" s="22" customFormat="1" x14ac:dyDescent="0.25">
      <c r="A35" s="41" t="s">
        <v>135</v>
      </c>
      <c r="B35" s="22" t="s">
        <v>65</v>
      </c>
      <c r="C35" s="15" t="s">
        <v>66</v>
      </c>
      <c r="D35" s="31" t="str">
        <f t="shared" si="3"/>
        <v>Lâu dài</v>
      </c>
      <c r="E35" s="22" t="s">
        <v>137</v>
      </c>
      <c r="F35" s="48" t="str">
        <f t="shared" si="1"/>
        <v>✅</v>
      </c>
    </row>
    <row r="36" spans="1:6" s="22" customFormat="1" x14ac:dyDescent="0.25">
      <c r="A36" s="41" t="s">
        <v>136</v>
      </c>
      <c r="B36" s="22" t="s">
        <v>67</v>
      </c>
      <c r="C36" s="15" t="s">
        <v>68</v>
      </c>
      <c r="D36" s="31" t="str">
        <f t="shared" si="3"/>
        <v>Nhà nước giao đất có thu tiền sử dụng đất</v>
      </c>
      <c r="E36" s="22" t="s">
        <v>137</v>
      </c>
      <c r="F36" s="48" t="str">
        <f t="shared" si="1"/>
        <v>✅</v>
      </c>
    </row>
    <row r="37" spans="1:6" s="24" customFormat="1" x14ac:dyDescent="0.25">
      <c r="A37" s="42"/>
      <c r="B37" s="23" t="s">
        <v>138</v>
      </c>
      <c r="C37" s="23"/>
      <c r="D37" s="23"/>
      <c r="F37" s="49"/>
    </row>
    <row r="38" spans="1:6" s="22" customFormat="1" x14ac:dyDescent="0.25">
      <c r="A38" s="41" t="s">
        <v>140</v>
      </c>
      <c r="B38" s="22" t="s">
        <v>69</v>
      </c>
      <c r="C38" s="15" t="s">
        <v>56</v>
      </c>
      <c r="D38" s="31" t="str">
        <f t="shared" ref="D38:D46" si="4">IF(ISNUMBER(SEARCH(COLLATERAL_TYPE,E38)),C38,"")</f>
        <v>Căn hộ chung cư số 3708</v>
      </c>
      <c r="E38" s="22" t="s">
        <v>137</v>
      </c>
      <c r="F38" s="48" t="str">
        <f t="shared" si="1"/>
        <v>✅</v>
      </c>
    </row>
    <row r="39" spans="1:6" s="22" customFormat="1" x14ac:dyDescent="0.25">
      <c r="A39" s="41" t="s">
        <v>141</v>
      </c>
      <c r="B39" s="22" t="s">
        <v>60</v>
      </c>
      <c r="C39" s="15"/>
      <c r="D39" s="31">
        <f t="shared" si="4"/>
        <v>0</v>
      </c>
      <c r="E39" s="22" t="s">
        <v>128</v>
      </c>
      <c r="F39" s="48" t="str">
        <f t="shared" si="1"/>
        <v>⚠ Bắt buộc</v>
      </c>
    </row>
    <row r="40" spans="1:6" s="25" customFormat="1" hidden="1" x14ac:dyDescent="0.25">
      <c r="A40" s="43" t="s">
        <v>142</v>
      </c>
      <c r="B40" s="25" t="s">
        <v>18</v>
      </c>
      <c r="D40" s="26" t="str">
        <f t="shared" si="4"/>
        <v/>
      </c>
      <c r="E40" s="25" t="s">
        <v>152</v>
      </c>
      <c r="F40" s="50"/>
    </row>
    <row r="41" spans="1:6" s="22" customFormat="1" x14ac:dyDescent="0.25">
      <c r="A41" s="41" t="s">
        <v>143</v>
      </c>
      <c r="B41" s="22" t="s">
        <v>19</v>
      </c>
      <c r="C41" s="15">
        <v>105</v>
      </c>
      <c r="D41" s="31">
        <f t="shared" si="4"/>
        <v>105</v>
      </c>
      <c r="E41" s="22" t="s">
        <v>137</v>
      </c>
      <c r="F41" s="48" t="str">
        <f t="shared" si="1"/>
        <v>✅</v>
      </c>
    </row>
    <row r="42" spans="1:6" s="22" customFormat="1" x14ac:dyDescent="0.25">
      <c r="A42" s="41" t="s">
        <v>144</v>
      </c>
      <c r="B42" s="22" t="s">
        <v>70</v>
      </c>
      <c r="C42" s="15" t="s">
        <v>71</v>
      </c>
      <c r="D42" s="31" t="str">
        <f t="shared" si="4"/>
        <v>Sở hữu riêng</v>
      </c>
      <c r="E42" s="22" t="s">
        <v>137</v>
      </c>
      <c r="F42" s="48" t="str">
        <f t="shared" si="1"/>
        <v>✅</v>
      </c>
    </row>
    <row r="43" spans="1:6" s="25" customFormat="1" hidden="1" x14ac:dyDescent="0.25">
      <c r="A43" s="43" t="s">
        <v>145</v>
      </c>
      <c r="B43" s="25" t="s">
        <v>20</v>
      </c>
      <c r="D43" s="26" t="str">
        <f t="shared" si="4"/>
        <v/>
      </c>
      <c r="E43" s="25" t="s">
        <v>152</v>
      </c>
      <c r="F43" s="50"/>
    </row>
    <row r="44" spans="1:6" s="22" customFormat="1" x14ac:dyDescent="0.25">
      <c r="A44" s="41" t="s">
        <v>146</v>
      </c>
      <c r="B44" s="22" t="s">
        <v>99</v>
      </c>
      <c r="C44" s="15" t="s">
        <v>66</v>
      </c>
      <c r="D44" s="31" t="str">
        <f t="shared" si="4"/>
        <v>Lâu dài</v>
      </c>
      <c r="E44" s="22" t="s">
        <v>137</v>
      </c>
      <c r="F44" s="48" t="str">
        <f t="shared" si="1"/>
        <v>✅</v>
      </c>
    </row>
    <row r="45" spans="1:6" s="22" customFormat="1" x14ac:dyDescent="0.25">
      <c r="A45" s="41" t="s">
        <v>161</v>
      </c>
      <c r="B45" s="22" t="s">
        <v>162</v>
      </c>
      <c r="C45" s="35"/>
      <c r="D45" s="31">
        <f t="shared" si="4"/>
        <v>0</v>
      </c>
      <c r="E45" s="22" t="s">
        <v>128</v>
      </c>
      <c r="F45" s="48"/>
    </row>
    <row r="46" spans="1:6" s="22" customFormat="1" ht="120" x14ac:dyDescent="0.25">
      <c r="A46" s="41" t="s">
        <v>153</v>
      </c>
      <c r="B46" s="22" t="s">
        <v>22</v>
      </c>
      <c r="C46" s="33" t="s">
        <v>72</v>
      </c>
      <c r="D46" s="38" t="str">
        <f t="shared" si="4"/>
        <v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v>
      </c>
      <c r="E46" s="22" t="s">
        <v>137</v>
      </c>
      <c r="F46" s="48" t="str">
        <f t="shared" si="1"/>
        <v>✅</v>
      </c>
    </row>
    <row r="47" spans="1:6" s="24" customFormat="1" x14ac:dyDescent="0.25">
      <c r="A47" s="44"/>
      <c r="E47" s="24" t="s">
        <v>137</v>
      </c>
      <c r="F47" s="49"/>
    </row>
    <row r="48" spans="1:6" s="22" customFormat="1" ht="30" x14ac:dyDescent="0.25">
      <c r="A48" s="41" t="s">
        <v>57</v>
      </c>
      <c r="B48" s="22" t="s">
        <v>58</v>
      </c>
      <c r="C48" s="33" t="s">
        <v>59</v>
      </c>
      <c r="D48" s="28" t="str">
        <f t="shared" ref="D48:D53" si="5">C48</f>
        <v>Giấy chứng nhận quyền sử dụng đất quyền sở hữu nhà ở và tài sản khác gắn liền với đất</v>
      </c>
      <c r="E48" s="22" t="s">
        <v>137</v>
      </c>
      <c r="F48" s="48" t="str">
        <f t="shared" si="1"/>
        <v>✅</v>
      </c>
    </row>
    <row r="49" spans="1:6" s="22" customFormat="1" x14ac:dyDescent="0.25">
      <c r="A49" s="41" t="s">
        <v>14</v>
      </c>
      <c r="B49" s="22" t="s">
        <v>46</v>
      </c>
      <c r="C49" s="15" t="s">
        <v>47</v>
      </c>
      <c r="D49" s="28" t="str">
        <f t="shared" si="5"/>
        <v>DO 304599</v>
      </c>
      <c r="E49" s="22" t="s">
        <v>137</v>
      </c>
      <c r="F49" s="48" t="str">
        <f t="shared" si="1"/>
        <v>✅</v>
      </c>
    </row>
    <row r="50" spans="1:6" s="22" customFormat="1" x14ac:dyDescent="0.25">
      <c r="A50" s="41" t="s">
        <v>15</v>
      </c>
      <c r="B50" s="22" t="s">
        <v>48</v>
      </c>
      <c r="C50" s="15" t="s">
        <v>49</v>
      </c>
      <c r="D50" s="28" t="str">
        <f t="shared" si="5"/>
        <v>VP20025</v>
      </c>
      <c r="E50" s="22" t="s">
        <v>137</v>
      </c>
      <c r="F50" s="48" t="str">
        <f t="shared" si="1"/>
        <v>✅</v>
      </c>
    </row>
    <row r="51" spans="1:6" s="22" customFormat="1" x14ac:dyDescent="0.25">
      <c r="A51" s="41" t="s">
        <v>16</v>
      </c>
      <c r="B51" s="22" t="s">
        <v>50</v>
      </c>
      <c r="C51" s="15" t="s">
        <v>51</v>
      </c>
      <c r="D51" s="28" t="str">
        <f t="shared" si="5"/>
        <v>Văn phòng đăng ký đất đai Hà Nội</v>
      </c>
      <c r="E51" s="22" t="s">
        <v>137</v>
      </c>
      <c r="F51" s="48" t="str">
        <f t="shared" si="1"/>
        <v>✅</v>
      </c>
    </row>
    <row r="52" spans="1:6" s="22" customFormat="1" x14ac:dyDescent="0.25">
      <c r="A52" s="41" t="s">
        <v>17</v>
      </c>
      <c r="B52" s="22" t="s">
        <v>52</v>
      </c>
      <c r="C52" s="17">
        <v>46023</v>
      </c>
      <c r="D52" s="29">
        <f t="shared" si="5"/>
        <v>46023</v>
      </c>
      <c r="E52" s="22" t="s">
        <v>137</v>
      </c>
      <c r="F52" s="48" t="str">
        <f t="shared" si="1"/>
        <v>✅</v>
      </c>
    </row>
    <row r="53" spans="1:6" s="22" customFormat="1" x14ac:dyDescent="0.25">
      <c r="A53" s="41" t="s">
        <v>55</v>
      </c>
      <c r="B53" s="22" t="s">
        <v>122</v>
      </c>
      <c r="C53" s="34" t="s">
        <v>120</v>
      </c>
      <c r="D53" s="30" t="str">
        <f t="shared" si="5"/>
        <v>Bà Thịnh Nát và Ông Hưng Phệ</v>
      </c>
      <c r="E53" s="22" t="s">
        <v>137</v>
      </c>
      <c r="F53" s="48" t="str">
        <f t="shared" si="1"/>
        <v>✅</v>
      </c>
    </row>
    <row r="54" spans="1:6" s="22" customFormat="1" ht="120" x14ac:dyDescent="0.25">
      <c r="A54" s="41" t="s">
        <v>21</v>
      </c>
      <c r="B54" s="22" t="s">
        <v>22</v>
      </c>
      <c r="C54" s="36" t="s">
        <v>72</v>
      </c>
      <c r="D54" s="27" t="str">
        <f t="shared" ref="D54:D55" si="6">C54</f>
        <v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v>
      </c>
      <c r="E54" s="22" t="s">
        <v>137</v>
      </c>
      <c r="F54" s="48" t="str">
        <f t="shared" si="1"/>
        <v>✅</v>
      </c>
    </row>
    <row r="55" spans="1:6" s="22" customFormat="1" x14ac:dyDescent="0.25">
      <c r="A55" s="41" t="s">
        <v>73</v>
      </c>
      <c r="B55" s="22" t="s">
        <v>165</v>
      </c>
      <c r="C55" s="37">
        <v>20000000</v>
      </c>
      <c r="D55" s="32">
        <f t="shared" si="6"/>
        <v>20000000</v>
      </c>
      <c r="E55" s="22" t="s">
        <v>137</v>
      </c>
      <c r="F55" s="48" t="str">
        <f t="shared" si="1"/>
        <v>✅</v>
      </c>
    </row>
    <row r="56" spans="1:6" s="22" customFormat="1" x14ac:dyDescent="0.25">
      <c r="A56" s="41" t="s">
        <v>74</v>
      </c>
      <c r="C56" s="15"/>
      <c r="D56" s="31" t="str" cm="1">
        <f t="array" ref="D56">vnd_to_words(D55,0,0)</f>
        <v>Hai mươi triệu đồng</v>
      </c>
      <c r="E56" s="22" t="s">
        <v>137</v>
      </c>
      <c r="F56" s="48"/>
    </row>
    <row r="57" spans="1:6" s="22" customFormat="1" x14ac:dyDescent="0.25">
      <c r="A57" s="41" t="s">
        <v>75</v>
      </c>
      <c r="C57" s="15"/>
      <c r="D57" s="32">
        <f>C55*C41</f>
        <v>2100000000</v>
      </c>
      <c r="E57" s="22" t="s">
        <v>137</v>
      </c>
      <c r="F57" s="48"/>
    </row>
    <row r="58" spans="1:6" s="22" customFormat="1" x14ac:dyDescent="0.25">
      <c r="A58" s="41" t="s">
        <v>76</v>
      </c>
      <c r="C58" s="15"/>
      <c r="D58" s="22" t="str" cm="1">
        <f t="array" ref="D58">vnd_to_words(D57,0,0)</f>
        <v>Hai tỷ một trăm triệu đồng</v>
      </c>
      <c r="E58" s="22" t="s">
        <v>137</v>
      </c>
      <c r="F58" s="48"/>
    </row>
    <row r="59" spans="1:6" x14ac:dyDescent="0.25">
      <c r="A59" s="39" t="s">
        <v>157</v>
      </c>
      <c r="B59" t="s">
        <v>158</v>
      </c>
      <c r="C59" s="24" t="str">
        <f>IF(C27="QSDĐ","Quyền sử dụng đất",
        IF(C27="CHCC","Quyền sở hữu "&amp;C38,
        IF(C27="QSDĐ+TSGLVĐ", "Quyền sử dụng đất và quyền sở hữu tài sản gắn liền với đất",
       "Chưa định nghĩa"
    )))</f>
        <v>Quyền sở hữu Căn hộ chung cư số 3708</v>
      </c>
      <c r="D59" t="str">
        <f>C59</f>
        <v>Quyền sở hữu Căn hộ chung cư số 3708</v>
      </c>
    </row>
    <row r="60" spans="1:6" x14ac:dyDescent="0.25">
      <c r="A60" s="39" t="s">
        <v>159</v>
      </c>
      <c r="B60" t="s">
        <v>160</v>
      </c>
      <c r="C60" s="24" t="str" cm="1">
        <f t="array" ref="C60">NumberToWords(C32,1)</f>
        <v>Ba trăm sáu mươi phẩy không</v>
      </c>
      <c r="D60" s="1" t="str">
        <f>C60</f>
        <v>Ba trăm sáu mươi phẩy không</v>
      </c>
    </row>
    <row r="61" spans="1:6" x14ac:dyDescent="0.25">
      <c r="A61" s="39" t="s">
        <v>163</v>
      </c>
      <c r="B61" t="s">
        <v>164</v>
      </c>
      <c r="C61" s="24">
        <f>IF(COLLATERAL_TYPE="CHCC",C41,C32)</f>
        <v>105</v>
      </c>
      <c r="D61" s="2">
        <f>C61</f>
        <v>105</v>
      </c>
    </row>
    <row r="62" spans="1:6" x14ac:dyDescent="0.25">
      <c r="C62" s="2"/>
      <c r="D62" s="2"/>
    </row>
    <row r="64" spans="1:6" x14ac:dyDescent="0.25">
      <c r="C64" s="3"/>
      <c r="D64" s="3"/>
    </row>
    <row r="65" spans="3:4" x14ac:dyDescent="0.25">
      <c r="D65" s="6"/>
    </row>
    <row r="66" spans="3:4" x14ac:dyDescent="0.25">
      <c r="C66" s="5"/>
    </row>
    <row r="71" spans="3:4" x14ac:dyDescent="0.25">
      <c r="D71" t="str">
        <f t="shared" ref="D71:D87" si="7">IF(ISBLANK(C71),"",C71)</f>
        <v/>
      </c>
    </row>
    <row r="72" spans="3:4" x14ac:dyDescent="0.25">
      <c r="D72" t="str">
        <f t="shared" si="7"/>
        <v/>
      </c>
    </row>
    <row r="73" spans="3:4" x14ac:dyDescent="0.25">
      <c r="D73" t="str">
        <f t="shared" si="7"/>
        <v/>
      </c>
    </row>
    <row r="74" spans="3:4" x14ac:dyDescent="0.25">
      <c r="D74" t="str">
        <f t="shared" si="7"/>
        <v/>
      </c>
    </row>
    <row r="76" spans="3:4" x14ac:dyDescent="0.25">
      <c r="D76" t="str">
        <f t="shared" si="7"/>
        <v/>
      </c>
    </row>
    <row r="77" spans="3:4" x14ac:dyDescent="0.25">
      <c r="D77" t="str">
        <f t="shared" si="7"/>
        <v/>
      </c>
    </row>
    <row r="78" spans="3:4" x14ac:dyDescent="0.25">
      <c r="D78" t="str">
        <f t="shared" si="7"/>
        <v/>
      </c>
    </row>
    <row r="79" spans="3:4" x14ac:dyDescent="0.25">
      <c r="D79" t="str">
        <f t="shared" si="7"/>
        <v/>
      </c>
    </row>
    <row r="80" spans="3:4" x14ac:dyDescent="0.25">
      <c r="D80" t="str">
        <f t="shared" si="7"/>
        <v/>
      </c>
    </row>
    <row r="81" spans="4:4" x14ac:dyDescent="0.25">
      <c r="D81" t="str">
        <f t="shared" si="7"/>
        <v/>
      </c>
    </row>
    <row r="82" spans="4:4" x14ac:dyDescent="0.25">
      <c r="D82" t="str">
        <f t="shared" si="7"/>
        <v/>
      </c>
    </row>
    <row r="83" spans="4:4" x14ac:dyDescent="0.25">
      <c r="D83" t="str">
        <f t="shared" si="7"/>
        <v/>
      </c>
    </row>
    <row r="84" spans="4:4" x14ac:dyDescent="0.25">
      <c r="D84" t="str">
        <f t="shared" si="7"/>
        <v/>
      </c>
    </row>
    <row r="85" spans="4:4" x14ac:dyDescent="0.25">
      <c r="D85" t="str">
        <f t="shared" si="7"/>
        <v/>
      </c>
    </row>
    <row r="86" spans="4:4" x14ac:dyDescent="0.25">
      <c r="D86" t="str">
        <f t="shared" si="7"/>
        <v/>
      </c>
    </row>
    <row r="87" spans="4:4" x14ac:dyDescent="0.25">
      <c r="D87" t="str">
        <f t="shared" si="7"/>
        <v/>
      </c>
    </row>
  </sheetData>
  <dataConsolidate/>
  <conditionalFormatting sqref="A2:A59">
    <cfRule type="duplicateValues" dxfId="1" priority="5"/>
  </conditionalFormatting>
  <conditionalFormatting sqref="A2:A184">
    <cfRule type="duplicateValues" dxfId="0" priority="7"/>
  </conditionalFormatting>
  <dataValidations count="4">
    <dataValidation type="list" allowBlank="1" showInputMessage="1" showErrorMessage="1" sqref="C6" xr:uid="{02B70275-CE8B-40EC-A0F7-1EE1F3BED3F5}">
      <formula1>"Ông,Bà"</formula1>
    </dataValidation>
    <dataValidation type="list" allowBlank="1" showInputMessage="1" showErrorMessage="1" sqref="C10 C22" xr:uid="{40C6CA2E-C2CF-4F77-935C-8BE6B6154ED2}">
      <formula1>"Căn cước công dân,Căn cước, Thẻ căn cước, Chứng minh nhân dân"</formula1>
    </dataValidation>
    <dataValidation type="list" allowBlank="1" showInputMessage="1" showErrorMessage="1" sqref="C16" xr:uid="{3411A6A1-0615-4615-A7B8-40E786D68BAF}">
      <formula1>"Đã kết hôn,Không phải đã kết hôn"</formula1>
    </dataValidation>
    <dataValidation type="list" allowBlank="1" showInputMessage="1" showErrorMessage="1" sqref="C27:C28" xr:uid="{926B6A2F-F9E4-43B4-B170-ED9965DD7FD8}">
      <formula1>"QSDĐ,QSDĐ+TSGLVĐ,CHCC"</formula1>
    </dataValidation>
  </dataValidations>
  <pageMargins left="0.7" right="0.7" top="0.75" bottom="0.75" header="0.3" footer="0.3"/>
  <pageSetup paperSize="9" orientation="portrait" r:id="rId1"/>
  <ignoredErrors>
    <ignoredError sqref="D11 D23 D15 D4 F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EFD-D60B-4A84-AEB3-50FEF47FD649}">
  <sheetPr codeName="Sheet1"/>
  <dimension ref="A1:E6"/>
  <sheetViews>
    <sheetView zoomScale="145" zoomScaleNormal="145" workbookViewId="0">
      <selection activeCell="B2" sqref="B2"/>
    </sheetView>
  </sheetViews>
  <sheetFormatPr defaultRowHeight="15" x14ac:dyDescent="0.25"/>
  <cols>
    <col min="2" max="2" width="13.5703125" bestFit="1" customWidth="1"/>
    <col min="3" max="3" width="31.140625" customWidth="1"/>
    <col min="4" max="4" width="30.85546875" bestFit="1" customWidth="1"/>
    <col min="5" max="5" width="14.85546875" customWidth="1"/>
  </cols>
  <sheetData>
    <row r="1" spans="1:5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</row>
    <row r="2" spans="1:5" x14ac:dyDescent="0.25">
      <c r="A2" t="s">
        <v>24</v>
      </c>
      <c r="B2" t="s">
        <v>100</v>
      </c>
      <c r="C2" t="s">
        <v>101</v>
      </c>
      <c r="D2" t="s">
        <v>102</v>
      </c>
      <c r="E2" t="s">
        <v>103</v>
      </c>
    </row>
    <row r="3" spans="1:5" x14ac:dyDescent="0.25">
      <c r="A3" t="s">
        <v>119</v>
      </c>
      <c r="B3" t="s">
        <v>104</v>
      </c>
      <c r="C3" t="s">
        <v>105</v>
      </c>
      <c r="D3" t="s">
        <v>106</v>
      </c>
      <c r="E3" t="s">
        <v>107</v>
      </c>
    </row>
    <row r="4" spans="1:5" x14ac:dyDescent="0.25">
      <c r="A4" t="s">
        <v>119</v>
      </c>
      <c r="B4" t="s">
        <v>108</v>
      </c>
      <c r="C4" t="s">
        <v>109</v>
      </c>
      <c r="D4" t="s">
        <v>110</v>
      </c>
      <c r="E4" t="s">
        <v>108</v>
      </c>
    </row>
    <row r="5" spans="1:5" x14ac:dyDescent="0.25">
      <c r="A5" t="s">
        <v>119</v>
      </c>
      <c r="B5" t="s">
        <v>111</v>
      </c>
      <c r="C5" t="s">
        <v>112</v>
      </c>
      <c r="D5" t="s">
        <v>113</v>
      </c>
      <c r="E5" t="s">
        <v>114</v>
      </c>
    </row>
    <row r="6" spans="1:5" x14ac:dyDescent="0.25">
      <c r="A6" t="s">
        <v>119</v>
      </c>
      <c r="B6" t="s">
        <v>116</v>
      </c>
      <c r="C6" t="s">
        <v>117</v>
      </c>
      <c r="D6" t="s">
        <v>118</v>
      </c>
      <c r="E6" t="s">
        <v>115</v>
      </c>
    </row>
  </sheetData>
  <dataValidations count="1">
    <dataValidation type="list" allowBlank="1" showInputMessage="1" showErrorMessage="1" sqref="A2:A1048576" xr:uid="{3D6EC787-9C5F-459B-B44B-5EEA5AFD9189}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WELCOME</vt:lpstr>
      <vt:lpstr>INPUT</vt:lpstr>
      <vt:lpstr>TEMPLATES</vt:lpstr>
      <vt:lpstr>COLLATERAL_TYPE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2026-04-17T15:29:16Z</dcterms:modified>
</cp:coreProperties>
</file>