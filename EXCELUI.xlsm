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D:\Desktop\MortgageContractAuto\"/>
    </mc:Choice>
  </mc:AlternateContent>
  <xr:revisionPtr revIDLastSave="0" documentId="13_ncr:1_{9CB05DCA-24CE-4EEF-AECB-BE59402899DC}" xr6:coauthVersionLast="47" xr6:coauthVersionMax="47" xr10:uidLastSave="{00000000-0000-0000-0000-000000000000}"/>
  <bookViews>
    <workbookView xWindow="-120" yWindow="-120" windowWidth="29040" windowHeight="15720" activeTab="1" xr2:uid="{00000000-000D-0000-FFFF-FFFF00000000}"/>
  </bookViews>
  <sheets>
    <sheet name="WELCOME" sheetId="5" r:id="rId1"/>
    <sheet name="INPUT" sheetId="4" r:id="rId2"/>
    <sheet name="TEMPLATES" sheetId="11" r:id="rId3"/>
  </sheets>
  <functionGroups builtInGroupCount="19"/>
  <definedNames>
    <definedName name="xlwings.conf">"{'udfs': []}"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1" i="4" l="1"/>
  <c r="D3" i="4"/>
  <c r="C20" i="4"/>
  <c r="D20" i="4" s="1"/>
  <c r="D19" i="4"/>
  <c r="C8" i="4"/>
  <c r="D8" i="4" s="1"/>
  <c r="D7" i="4"/>
  <c r="D16" i="4"/>
  <c r="D50" i="4"/>
  <c r="D57" i="4"/>
  <c r="D46" i="4"/>
  <c r="D48" i="4"/>
  <c r="C47" i="4"/>
  <c r="D47" i="4" s="1"/>
  <c r="D55" i="4"/>
  <c r="D54" i="4"/>
  <c r="D39" i="4"/>
  <c r="D31" i="4"/>
  <c r="D30" i="4"/>
  <c r="D29" i="4"/>
  <c r="D28" i="4"/>
  <c r="D38" i="4"/>
  <c r="D34" i="4"/>
  <c r="D27" i="4"/>
  <c r="D33" i="4"/>
  <c r="D13" i="4"/>
  <c r="C25" i="4"/>
  <c r="D25" i="4" s="1"/>
  <c r="D24" i="4"/>
  <c r="D23" i="4"/>
  <c r="D22" i="4"/>
  <c r="D18" i="4"/>
  <c r="C17" i="4"/>
  <c r="D17" i="4" s="1"/>
  <c r="D15" i="4"/>
  <c r="D14" i="4"/>
  <c r="D12" i="4"/>
  <c r="D11" i="4"/>
  <c r="D10" i="4"/>
  <c r="D5" i="4"/>
  <c r="D56" i="4" a="1"/>
  <c r="D40" i="4" a="1"/>
  <c r="D58" i="4" a="1"/>
  <c r="D58" i="4" l="1"/>
  <c r="D56" i="4"/>
  <c r="D40" i="4"/>
  <c r="D6" i="4"/>
  <c r="D4" i="4"/>
  <c r="D2" i="4"/>
  <c r="D1" i="4"/>
  <c r="D87" i="4"/>
  <c r="D86" i="4"/>
  <c r="D85" i="4"/>
  <c r="D84" i="4"/>
  <c r="D83" i="4"/>
  <c r="D82" i="4"/>
  <c r="D81" i="4"/>
  <c r="D80" i="4"/>
  <c r="D79" i="4"/>
  <c r="D78" i="4"/>
  <c r="D77" i="4"/>
  <c r="D76" i="4"/>
  <c r="D74" i="4"/>
  <c r="D73" i="4"/>
  <c r="D72" i="4"/>
  <c r="D71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<sst xmlns="http://schemas.openxmlformats.org/spreadsheetml/2006/main" count="144" uniqueCount="139">
  <si>
    <t>GENDER</t>
  </si>
  <si>
    <t>HDCT</t>
  </si>
  <si>
    <t>CIF</t>
  </si>
  <si>
    <t>K_NO</t>
  </si>
  <si>
    <t>TEL</t>
  </si>
  <si>
    <t>NAME</t>
  </si>
  <si>
    <t>ID</t>
  </si>
  <si>
    <t>PLACE_ID</t>
  </si>
  <si>
    <t>DATE_ID</t>
  </si>
  <si>
    <t>SPOUSE</t>
  </si>
  <si>
    <t>SPC_ID</t>
  </si>
  <si>
    <t>SPC_PLACE_ID</t>
  </si>
  <si>
    <t>SPC_DATE_ID</t>
  </si>
  <si>
    <t>K_DATE</t>
  </si>
  <si>
    <t>CERTNO</t>
  </si>
  <si>
    <t>CERTREF</t>
  </si>
  <si>
    <t>CERTISSUER</t>
  </si>
  <si>
    <t>CERTISSUEDATE</t>
  </si>
  <si>
    <t>THUA_DAT_SO</t>
  </si>
  <si>
    <t>TO_BAN_DO_SO</t>
  </si>
  <si>
    <t>AREA</t>
  </si>
  <si>
    <t>HTSD</t>
  </si>
  <si>
    <t>MDSD</t>
  </si>
  <si>
    <t>THSD</t>
  </si>
  <si>
    <t>NGSD</t>
  </si>
  <si>
    <t>ATL</t>
  </si>
  <si>
    <t>Có tài sản trên đất?</t>
  </si>
  <si>
    <t>ATL_TYPE</t>
  </si>
  <si>
    <t>GFA</t>
  </si>
  <si>
    <t>C_AREA</t>
  </si>
  <si>
    <t>Diện tích xây dựng</t>
  </si>
  <si>
    <t>Diện tích sàn</t>
  </si>
  <si>
    <t>OWN_TYPE</t>
  </si>
  <si>
    <t>CLASS</t>
  </si>
  <si>
    <t>Cấp (Hạng)</t>
  </si>
  <si>
    <t>OWN_LENGTH</t>
  </si>
  <si>
    <t>CERT_NOTES</t>
  </si>
  <si>
    <t>Ghi chú</t>
  </si>
  <si>
    <t>Số hồ sơ</t>
  </si>
  <si>
    <t>YES</t>
  </si>
  <si>
    <t>test</t>
  </si>
  <si>
    <t>Mẫu test</t>
  </si>
  <si>
    <t>test.docx</t>
  </si>
  <si>
    <t>selected</t>
  </si>
  <si>
    <t>templatecode</t>
  </si>
  <si>
    <t>description</t>
  </si>
  <si>
    <t>docx_file</t>
  </si>
  <si>
    <t>file_prefix</t>
  </si>
  <si>
    <t>haha</t>
  </si>
  <si>
    <t>Tên KH</t>
  </si>
  <si>
    <t>13/04/2026</t>
  </si>
  <si>
    <t>Số CIF</t>
  </si>
  <si>
    <t>Giới tính</t>
  </si>
  <si>
    <t>Số Định danh cá nhân/CCCD/CMND</t>
  </si>
  <si>
    <t>Nơi cấp</t>
  </si>
  <si>
    <t>Ngày cấp</t>
  </si>
  <si>
    <t>Số điện thoại</t>
  </si>
  <si>
    <t>Tình trạng hôn nhân</t>
  </si>
  <si>
    <t>Đã kết hôn</t>
  </si>
  <si>
    <t>isMarried</t>
  </si>
  <si>
    <t>SP_GENDER</t>
  </si>
  <si>
    <t>Giới tính người phối ngẫu</t>
  </si>
  <si>
    <t>Ông</t>
  </si>
  <si>
    <t>Cục Cảnh sát Quản lý hành chính về trật tự xã hội</t>
  </si>
  <si>
    <t>Dương Nội, Hà Đông</t>
  </si>
  <si>
    <t>Họ tên Vợ/Chồng</t>
  </si>
  <si>
    <t>Nguyễn Nhật Thịnh Nát</t>
  </si>
  <si>
    <t>Lê Trung Hưng</t>
  </si>
  <si>
    <t>Số ĐDCN/CCCD/CMND của Vợ/Chồng</t>
  </si>
  <si>
    <t>Loại tài sản</t>
  </si>
  <si>
    <t>Căn hộ chung cư</t>
  </si>
  <si>
    <t>Số GCN</t>
  </si>
  <si>
    <t>DO 304599</t>
  </si>
  <si>
    <t>Số vào sổ cấp GCN</t>
  </si>
  <si>
    <t>VP20025</t>
  </si>
  <si>
    <t>Cơ quan cấp GCN</t>
  </si>
  <si>
    <t>Văn phòng đăng ký đất đai Hà Nội</t>
  </si>
  <si>
    <t>Ngày cấp GCN</t>
  </si>
  <si>
    <t>Thửa đất số</t>
  </si>
  <si>
    <t>Tờ bản đồ số</t>
  </si>
  <si>
    <t>ASS_OWNER</t>
  </si>
  <si>
    <t>Chủ sở hữu</t>
  </si>
  <si>
    <t>Bà Nguyễn Thị Diệu Thúy và Ông Tô Ánh Dương</t>
  </si>
  <si>
    <t>ASSTYPE</t>
  </si>
  <si>
    <t>Căn hộ chung cư số 3708</t>
  </si>
  <si>
    <t>ASSADD</t>
  </si>
  <si>
    <t>CERTNAME</t>
  </si>
  <si>
    <t>Tên GCN</t>
  </si>
  <si>
    <t>Giấy chứng nhận quyền sử dụng đất quyền sở hữu nhà ở và tài sản khác gắn liền với đất</t>
  </si>
  <si>
    <t>Địa chỉ thửa đất</t>
  </si>
  <si>
    <t>APT_BLD</t>
  </si>
  <si>
    <t>Tên nhà chung cư</t>
  </si>
  <si>
    <t>Tòa nhà TRUMP</t>
  </si>
  <si>
    <t>Diện tích thửa đất</t>
  </si>
  <si>
    <t>Hình thức sử dụng</t>
  </si>
  <si>
    <t>Sử dụng chung</t>
  </si>
  <si>
    <t>Mục đích sử dụng</t>
  </si>
  <si>
    <t>Đất ở tại đô thị</t>
  </si>
  <si>
    <t>Thời hạn sử dụng</t>
  </si>
  <si>
    <t>Lâu dài</t>
  </si>
  <si>
    <t>Nguồn gốc sử dụng</t>
  </si>
  <si>
    <t>Nhà nước giao đất có thu tiền sử dụng đất</t>
  </si>
  <si>
    <t>Loại nhà ở</t>
  </si>
  <si>
    <t>AREA_IN_WORDS</t>
  </si>
  <si>
    <t>Hình thức sở hữu</t>
  </si>
  <si>
    <t>Sở hữu riêng</t>
  </si>
  <si>
    <t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t>
  </si>
  <si>
    <t>PRICE</t>
  </si>
  <si>
    <t>Đơn giá</t>
  </si>
  <si>
    <t>PRICE_IN_WORDS</t>
  </si>
  <si>
    <t>APT_NO</t>
  </si>
  <si>
    <t>Số căn hộ</t>
  </si>
  <si>
    <t>Khu nhà ở, văn phòng dịch vụ tại 136 Hồ Tùng Mậu, phường Phú Diễn, quận Bắc Từ Liêm, Thành phố Hà Nội</t>
  </si>
  <si>
    <t>TOTAL_AMOUNT</t>
  </si>
  <si>
    <t>TOTAL_AMT_IN_WORDS</t>
  </si>
  <si>
    <t>Tòa nhà Ruby 3</t>
  </si>
  <si>
    <t>SP_ABB</t>
  </si>
  <si>
    <t>Vợ/Chồng</t>
  </si>
  <si>
    <t>vợ</t>
  </si>
  <si>
    <t>DOB</t>
  </si>
  <si>
    <t>Ngày sinh</t>
  </si>
  <si>
    <t>YOB</t>
  </si>
  <si>
    <t>Năm sinh</t>
  </si>
  <si>
    <t>PMN_CUS_ADD</t>
  </si>
  <si>
    <t>Địa chỉ thường trú Khách hàng</t>
  </si>
  <si>
    <t>SPC_DOB</t>
  </si>
  <si>
    <t>Ngày sinh vợ/chồng</t>
  </si>
  <si>
    <t>SPC_YOB</t>
  </si>
  <si>
    <t>Năm sinh vợ/chồng</t>
  </si>
  <si>
    <t>Địa chỉ thường trú Vợ/Chồng KH</t>
  </si>
  <si>
    <t>PMN_SPC_ADD</t>
  </si>
  <si>
    <t>Ngày làm hồ sơ</t>
  </si>
  <si>
    <t>K_YEAR</t>
  </si>
  <si>
    <t>Năm làm hồ sơ</t>
  </si>
  <si>
    <t>ID_TYPE</t>
  </si>
  <si>
    <t>Loại ID</t>
  </si>
  <si>
    <t>SPC_ID_TYPE</t>
  </si>
  <si>
    <t>Loại ID Vợ/Chồng</t>
  </si>
  <si>
    <t>Căn cước công dân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</si>
</sst>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0"/>
    <numFmt numFmtId="165" formatCode="0.0"/>
    <numFmt numFmtId="166" formatCode="0###########0"/>
    <numFmt numFmtId="167" formatCode="0000000000"/>
  </numFmts>
  <fonts count="2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19"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49" fontId="0" fillId="0" borderId="0" xfId="0" applyNumberFormat="1" applyAlignment="1">
      <alignment horizontal="right"/>
    </xf>
    <xf numFmtId="164" fontId="0" fillId="0" borderId="0" xfId="0" applyNumberFormat="1"/>
    <xf numFmtId="4" fontId="0" fillId="0" borderId="0" xfId="0" applyNumberFormat="1"/>
    <xf numFmtId="164" fontId="0" fillId="0" borderId="0" xfId="0" applyNumberFormat="1" applyAlignment="1">
      <alignment horizontal="right"/>
    </xf>
    <xf numFmtId="0" fontId="1" fillId="0" borderId="0" xfId="1"/>
    <xf numFmtId="0" fontId="0" fillId="0" borderId="0" xfId="0" applyAlignment="1">
      <alignment wrapText="1"/>
    </xf>
    <xf numFmtId="165" fontId="0" fillId="0" borderId="0" xfId="0" applyNumberFormat="1"/>
    <xf numFmtId="14" fontId="0" fillId="0" borderId="0" xfId="0" applyNumberFormat="1" applyAlignment="1">
      <alignment horizontal="right"/>
    </xf>
    <xf numFmtId="166" fontId="0" fillId="0" borderId="0" xfId="0" applyNumberFormat="1" applyAlignment="1">
      <alignment horizontal="right"/>
    </xf>
    <xf numFmtId="0" fontId="0" fillId="0" borderId="0" xfId="0" applyAlignment="1">
      <alignment horizontal="right" wrapText="1"/>
    </xf>
    <xf numFmtId="14" fontId="0" fillId="0" borderId="0" xfId="0" applyNumberFormat="1" applyAlignment="1">
      <alignment horizontal="right" wrapText="1"/>
    </xf>
    <xf numFmtId="167" fontId="0" fillId="0" borderId="0" xfId="0" applyNumberFormat="1" applyAlignment="1">
      <alignment horizontal="right"/>
    </xf>
    <xf numFmtId="1" fontId="0" fillId="0" borderId="0" xfId="0" applyNumberFormat="1"/>
    <xf numFmtId="0" fontId="0" fillId="0" borderId="0" xfId="0" quotePrefix="1" applyAlignment="1">
      <alignment wrapText="1"/>
    </xf>
    <xf numFmtId="3" fontId="0" fillId="0" borderId="0" xfId="0" applyNumberFormat="1"/>
    <xf numFmtId="0" fontId="0" fillId="0" borderId="0" xfId="0" applyNumberFormat="1" applyAlignment="1">
      <alignment horizontal="righ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2FAD0-E83A-4C94-8C9E-5732E5836254}">
  <sheetPr codeName="Sheet5"/>
  <dimension ref="A1"/>
  <sheetViews>
    <sheetView workbookViewId="0">
      <selection activeCell="J10" sqref="J10"/>
    </sheetView>
  </sheetViews>
  <sheetFormatPr defaultRowHeight="15" x14ac:dyDescent="0.25"/>
  <cols>
    <col min="1" max="1" width="13.140625" bestFit="1" customWidth="1"/>
    <col min="2" max="2" width="18" customWidth="1"/>
    <col min="3" max="3" width="29.5703125" customWidth="1"/>
  </cols>
  <sheetData/>
  <dataValidations count="1">
    <dataValidation type="list" allowBlank="1" showInputMessage="1" showErrorMessage="1" sqref="B2" xr:uid="{0FFDB4C2-795B-4B75-8AEE-C22F586BBA81}">
      <formula1>#REF!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88363-C0AC-4348-BE33-B6AEFC5A9C2B}">
  <sheetPr codeName="Sheet4"/>
  <dimension ref="A1:Z87"/>
  <sheetViews>
    <sheetView showGridLines="0" tabSelected="1" zoomScaleNormal="100" workbookViewId="0">
      <selection activeCell="A33" sqref="A33"/>
    </sheetView>
  </sheetViews>
  <sheetFormatPr defaultRowHeight="15" x14ac:dyDescent="0.25"/>
  <cols>
    <col min="1" max="1" width="22" bestFit="1" customWidth="1"/>
    <col min="2" max="2" width="36.85546875" customWidth="1"/>
    <col min="3" max="4" width="31.85546875" customWidth="1"/>
    <col min="5" max="5" width="15.42578125" bestFit="1" customWidth="1"/>
  </cols>
  <sheetData>
    <row r="1" spans="1:26" x14ac:dyDescent="0.25">
      <c r="A1" t="s">
        <v>3</v>
      </c>
      <c r="B1" t="s">
        <v>38</v>
      </c>
      <c r="C1" s="4">
        <v>1</v>
      </c>
      <c r="D1" s="2" t="str">
        <f>TEXT(C1,"00")</f>
        <v>01</v>
      </c>
      <c r="Z1" t="s">
        <v>1</v>
      </c>
    </row>
    <row r="2" spans="1:26" x14ac:dyDescent="0.25">
      <c r="A2" t="s">
        <v>13</v>
      </c>
      <c r="B2" t="s">
        <v>131</v>
      </c>
      <c r="C2" s="10" t="s">
        <v>50</v>
      </c>
      <c r="D2" s="10" t="str">
        <f>C2</f>
        <v>13/04/2026</v>
      </c>
      <c r="H2" s="9"/>
    </row>
    <row r="3" spans="1:26" x14ac:dyDescent="0.25">
      <c r="A3" t="s">
        <v>132</v>
      </c>
      <c r="B3" t="s">
        <v>133</v>
      </c>
      <c r="C3" s="10"/>
      <c r="D3" s="18">
        <f>YEAR(C2)</f>
        <v>2026</v>
      </c>
      <c r="H3" s="9"/>
    </row>
    <row r="4" spans="1:26" x14ac:dyDescent="0.25">
      <c r="A4" t="s">
        <v>2</v>
      </c>
      <c r="B4" t="s">
        <v>51</v>
      </c>
      <c r="C4" s="2">
        <v>14604287</v>
      </c>
      <c r="D4" s="2">
        <f>C4</f>
        <v>14604287</v>
      </c>
      <c r="E4" s="5"/>
    </row>
    <row r="5" spans="1:26" x14ac:dyDescent="0.25">
      <c r="A5" t="s">
        <v>0</v>
      </c>
      <c r="B5" t="s">
        <v>52</v>
      </c>
      <c r="C5" s="2" t="s">
        <v>62</v>
      </c>
      <c r="D5" s="2" t="str">
        <f>C5</f>
        <v>Ông</v>
      </c>
    </row>
    <row r="6" spans="1:26" x14ac:dyDescent="0.25">
      <c r="A6" t="s">
        <v>5</v>
      </c>
      <c r="B6" t="s">
        <v>49</v>
      </c>
      <c r="C6" s="2" t="s">
        <v>66</v>
      </c>
      <c r="D6" s="2" t="str">
        <f>C6</f>
        <v>Nguyễn Nhật Thịnh Nát</v>
      </c>
    </row>
    <row r="7" spans="1:26" x14ac:dyDescent="0.25">
      <c r="A7" t="s">
        <v>119</v>
      </c>
      <c r="B7" t="s">
        <v>120</v>
      </c>
      <c r="C7" s="10">
        <v>34561</v>
      </c>
      <c r="D7" s="10">
        <f>C7</f>
        <v>34561</v>
      </c>
    </row>
    <row r="8" spans="1:26" x14ac:dyDescent="0.25">
      <c r="A8" t="s">
        <v>121</v>
      </c>
      <c r="B8" t="s">
        <v>122</v>
      </c>
      <c r="C8" s="18">
        <f>YEAR(C7)</f>
        <v>1994</v>
      </c>
      <c r="D8" s="18">
        <f>C8</f>
        <v>1994</v>
      </c>
    </row>
    <row r="9" spans="1:26" x14ac:dyDescent="0.25">
      <c r="A9" t="s">
        <v>134</v>
      </c>
      <c r="B9" t="s">
        <v>135</v>
      </c>
      <c r="C9" s="18"/>
      <c r="D9" s="18"/>
    </row>
    <row r="10" spans="1:26" x14ac:dyDescent="0.25">
      <c r="A10" t="s">
        <v>6</v>
      </c>
      <c r="B10" t="s">
        <v>53</v>
      </c>
      <c r="C10" s="11">
        <v>31095222222</v>
      </c>
      <c r="D10" s="11" t="str">
        <f>IF(LEN(C10)&lt;=9,TEXT(C10,"000000000"),TEXT(C10,"000000000000"))</f>
        <v>031095222222</v>
      </c>
    </row>
    <row r="11" spans="1:26" x14ac:dyDescent="0.25">
      <c r="A11" t="s">
        <v>8</v>
      </c>
      <c r="B11" t="s">
        <v>55</v>
      </c>
      <c r="C11" s="10">
        <v>46023</v>
      </c>
      <c r="D11" s="10">
        <f>C11</f>
        <v>46023</v>
      </c>
    </row>
    <row r="12" spans="1:26" ht="30" x14ac:dyDescent="0.25">
      <c r="A12" t="s">
        <v>7</v>
      </c>
      <c r="B12" t="s">
        <v>54</v>
      </c>
      <c r="C12" s="12" t="s">
        <v>63</v>
      </c>
      <c r="D12" s="13" t="str">
        <f>C12</f>
        <v>Cục Cảnh sát Quản lý hành chính về trật tự xã hội</v>
      </c>
    </row>
    <row r="13" spans="1:26" x14ac:dyDescent="0.25">
      <c r="A13" t="s">
        <v>123</v>
      </c>
      <c r="B13" t="s">
        <v>124</v>
      </c>
      <c r="C13" s="2" t="s">
        <v>64</v>
      </c>
      <c r="D13" s="2" t="str">
        <f>C13</f>
        <v>Dương Nội, Hà Đông</v>
      </c>
    </row>
    <row r="14" spans="1:26" x14ac:dyDescent="0.25">
      <c r="A14" t="s">
        <v>4</v>
      </c>
      <c r="B14" t="s">
        <v>56</v>
      </c>
      <c r="C14" s="14">
        <v>975596126</v>
      </c>
      <c r="D14" s="2" t="str">
        <f>TEXT(C14,"0000000000")</f>
        <v>0975596126</v>
      </c>
    </row>
    <row r="15" spans="1:26" x14ac:dyDescent="0.25">
      <c r="A15" t="s">
        <v>59</v>
      </c>
      <c r="B15" t="s">
        <v>57</v>
      </c>
      <c r="C15" s="2" t="s">
        <v>58</v>
      </c>
      <c r="D15" s="2" t="str">
        <f>C15</f>
        <v>Đã kết hôn</v>
      </c>
    </row>
    <row r="16" spans="1:26" x14ac:dyDescent="0.25">
      <c r="A16" t="s">
        <v>116</v>
      </c>
      <c r="B16" t="s">
        <v>117</v>
      </c>
      <c r="C16" s="2" t="s">
        <v>118</v>
      </c>
      <c r="D16" s="2" t="str">
        <f>C16</f>
        <v>vợ</v>
      </c>
    </row>
    <row r="17" spans="1:4" x14ac:dyDescent="0.25">
      <c r="A17" t="s">
        <v>60</v>
      </c>
      <c r="B17" t="s">
        <v>61</v>
      </c>
      <c r="C17" s="2" t="str">
        <f>IF(C5="Ông","Bà","Bà")</f>
        <v>Bà</v>
      </c>
      <c r="D17" s="2" t="str">
        <f>C17</f>
        <v>Bà</v>
      </c>
    </row>
    <row r="18" spans="1:4" x14ac:dyDescent="0.25">
      <c r="A18" t="s">
        <v>9</v>
      </c>
      <c r="B18" t="s">
        <v>65</v>
      </c>
      <c r="C18" s="2" t="s">
        <v>67</v>
      </c>
      <c r="D18" s="2" t="str">
        <f>C18</f>
        <v>Lê Trung Hưng</v>
      </c>
    </row>
    <row r="19" spans="1:4" x14ac:dyDescent="0.25">
      <c r="A19" t="s">
        <v>125</v>
      </c>
      <c r="B19" t="s">
        <v>126</v>
      </c>
      <c r="C19" s="10">
        <v>33465</v>
      </c>
      <c r="D19" s="10">
        <f>C19</f>
        <v>33465</v>
      </c>
    </row>
    <row r="20" spans="1:4" x14ac:dyDescent="0.25">
      <c r="A20" t="s">
        <v>127</v>
      </c>
      <c r="B20" t="s">
        <v>128</v>
      </c>
      <c r="C20" s="18">
        <f>YEAR(C19)</f>
        <v>1991</v>
      </c>
      <c r="D20" s="18">
        <f>C20</f>
        <v>1991</v>
      </c>
    </row>
    <row r="21" spans="1:4" x14ac:dyDescent="0.25">
      <c r="A21" t="s">
        <v>136</v>
      </c>
      <c r="B21" t="s">
        <v>137</v>
      </c>
      <c r="C21" s="18" t="s">
        <v>138</v>
      </c>
      <c r="D21" s="18" t="str">
        <f>C21</f>
        <v>Căn cước công dân</v>
      </c>
    </row>
    <row r="22" spans="1:4" x14ac:dyDescent="0.25">
      <c r="A22" t="s">
        <v>10</v>
      </c>
      <c r="B22" t="s">
        <v>68</v>
      </c>
      <c r="C22" s="11">
        <v>1091000254</v>
      </c>
      <c r="D22" s="11" t="str">
        <f>IF(LEN(C22)&lt;=9,TEXT(C22,"000000000"),TEXT(C22,"000000000000"))</f>
        <v>001091000254</v>
      </c>
    </row>
    <row r="23" spans="1:4" x14ac:dyDescent="0.25">
      <c r="A23" t="s">
        <v>12</v>
      </c>
      <c r="B23" t="s">
        <v>55</v>
      </c>
      <c r="C23" s="10">
        <v>46023</v>
      </c>
      <c r="D23" s="10">
        <f>C23</f>
        <v>46023</v>
      </c>
    </row>
    <row r="24" spans="1:4" ht="30" x14ac:dyDescent="0.25">
      <c r="A24" t="s">
        <v>11</v>
      </c>
      <c r="B24" t="s">
        <v>54</v>
      </c>
      <c r="C24" s="12" t="s">
        <v>63</v>
      </c>
      <c r="D24" s="13" t="str">
        <f>C24</f>
        <v>Cục Cảnh sát Quản lý hành chính về trật tự xã hội</v>
      </c>
    </row>
    <row r="25" spans="1:4" x14ac:dyDescent="0.25">
      <c r="A25" t="s">
        <v>130</v>
      </c>
      <c r="B25" t="s">
        <v>129</v>
      </c>
      <c r="C25" s="2" t="str">
        <f>C13</f>
        <v>Dương Nội, Hà Đông</v>
      </c>
      <c r="D25" s="2" t="str">
        <f>C25</f>
        <v>Dương Nội, Hà Đông</v>
      </c>
    </row>
    <row r="26" spans="1:4" x14ac:dyDescent="0.25">
      <c r="C26" s="4"/>
      <c r="D26" s="6"/>
    </row>
    <row r="27" spans="1:4" x14ac:dyDescent="0.25">
      <c r="A27" t="s">
        <v>83</v>
      </c>
      <c r="B27" t="s">
        <v>69</v>
      </c>
      <c r="C27" t="s">
        <v>70</v>
      </c>
      <c r="D27" s="2" t="str">
        <f>IF(C27="Căn hộ chung cư","Quyền sở hữu căn hộ chung cư","Quyền sử dụng đất")</f>
        <v>Quyền sở hữu căn hộ chung cư</v>
      </c>
    </row>
    <row r="28" spans="1:4" x14ac:dyDescent="0.25">
      <c r="A28" t="s">
        <v>90</v>
      </c>
      <c r="B28" t="s">
        <v>91</v>
      </c>
      <c r="C28" t="s">
        <v>92</v>
      </c>
      <c r="D28" s="2" t="str">
        <f>C28</f>
        <v>Tòa nhà TRUMP</v>
      </c>
    </row>
    <row r="29" spans="1:4" ht="45" x14ac:dyDescent="0.25">
      <c r="A29" t="s">
        <v>86</v>
      </c>
      <c r="B29" t="s">
        <v>87</v>
      </c>
      <c r="C29" s="8" t="s">
        <v>88</v>
      </c>
      <c r="D29" s="12" t="str">
        <f>C29</f>
        <v>Giấy chứng nhận quyền sử dụng đất quyền sở hữu nhà ở và tài sản khác gắn liền với đất</v>
      </c>
    </row>
    <row r="30" spans="1:4" x14ac:dyDescent="0.25">
      <c r="A30" t="s">
        <v>14</v>
      </c>
      <c r="B30" t="s">
        <v>71</v>
      </c>
      <c r="C30" t="s">
        <v>72</v>
      </c>
      <c r="D30" s="12" t="str">
        <f>C30</f>
        <v>DO 304599</v>
      </c>
    </row>
    <row r="31" spans="1:4" x14ac:dyDescent="0.25">
      <c r="A31" t="s">
        <v>15</v>
      </c>
      <c r="B31" t="s">
        <v>73</v>
      </c>
      <c r="C31" t="s">
        <v>74</v>
      </c>
      <c r="D31" s="12" t="str">
        <f>C31</f>
        <v>VP20025</v>
      </c>
    </row>
    <row r="32" spans="1:4" x14ac:dyDescent="0.25">
      <c r="A32" t="s">
        <v>16</v>
      </c>
      <c r="B32" t="s">
        <v>75</v>
      </c>
      <c r="C32" t="s">
        <v>76</v>
      </c>
    </row>
    <row r="33" spans="1:4" x14ac:dyDescent="0.25">
      <c r="A33" t="s">
        <v>17</v>
      </c>
      <c r="B33" t="s">
        <v>77</v>
      </c>
      <c r="C33" s="10">
        <v>46023</v>
      </c>
      <c r="D33" s="10">
        <f>C33</f>
        <v>46023</v>
      </c>
    </row>
    <row r="34" spans="1:4" ht="30" x14ac:dyDescent="0.25">
      <c r="A34" t="s">
        <v>80</v>
      </c>
      <c r="B34" t="s">
        <v>81</v>
      </c>
      <c r="C34" s="13" t="s">
        <v>82</v>
      </c>
      <c r="D34" s="13" t="str">
        <f>C34</f>
        <v>Bà Nguyễn Thị Diệu Thúy và Ông Tô Ánh Dương</v>
      </c>
    </row>
    <row r="35" spans="1:4" x14ac:dyDescent="0.25">
      <c r="C35" s="10"/>
      <c r="D35" s="10"/>
    </row>
    <row r="36" spans="1:4" x14ac:dyDescent="0.25">
      <c r="A36" t="s">
        <v>18</v>
      </c>
      <c r="B36" t="s">
        <v>78</v>
      </c>
      <c r="C36">
        <v>1</v>
      </c>
    </row>
    <row r="37" spans="1:4" x14ac:dyDescent="0.25">
      <c r="A37" t="s">
        <v>19</v>
      </c>
      <c r="B37" t="s">
        <v>79</v>
      </c>
      <c r="C37">
        <v>2</v>
      </c>
    </row>
    <row r="38" spans="1:4" ht="60" x14ac:dyDescent="0.25">
      <c r="A38" t="s">
        <v>85</v>
      </c>
      <c r="B38" t="s">
        <v>89</v>
      </c>
      <c r="C38" s="8" t="s">
        <v>112</v>
      </c>
      <c r="D38" s="8" t="str">
        <f>C38</f>
        <v>Khu nhà ở, văn phòng dịch vụ tại 136 Hồ Tùng Mậu, phường Phú Diễn, quận Bắc Từ Liêm, Thành phố Hà Nội</v>
      </c>
    </row>
    <row r="39" spans="1:4" x14ac:dyDescent="0.25">
      <c r="A39" t="s">
        <v>20</v>
      </c>
      <c r="B39" t="s">
        <v>93</v>
      </c>
      <c r="C39" s="15">
        <v>1868</v>
      </c>
      <c r="D39" s="12" t="str">
        <f>TEXT(C39,"#,0")</f>
        <v>1868,0</v>
      </c>
    </row>
    <row r="40" spans="1:4" ht="30" x14ac:dyDescent="0.25">
      <c r="A40" t="s">
        <v>103</v>
      </c>
      <c r="D40" s="8" t="str" cm="1">
        <f t="array" ref="D40">NumberToWords(C39,1)</f>
        <v>Một nghìn tám trăm sáu mươi tám phẩy không</v>
      </c>
    </row>
    <row r="41" spans="1:4" x14ac:dyDescent="0.25">
      <c r="A41" t="s">
        <v>21</v>
      </c>
      <c r="B41" t="s">
        <v>94</v>
      </c>
      <c r="C41" t="s">
        <v>95</v>
      </c>
    </row>
    <row r="42" spans="1:4" x14ac:dyDescent="0.25">
      <c r="A42" t="s">
        <v>22</v>
      </c>
      <c r="B42" t="s">
        <v>96</v>
      </c>
      <c r="C42" t="s">
        <v>97</v>
      </c>
    </row>
    <row r="43" spans="1:4" x14ac:dyDescent="0.25">
      <c r="A43" t="s">
        <v>23</v>
      </c>
      <c r="B43" t="s">
        <v>98</v>
      </c>
      <c r="C43" t="s">
        <v>99</v>
      </c>
    </row>
    <row r="44" spans="1:4" x14ac:dyDescent="0.25">
      <c r="A44" t="s">
        <v>24</v>
      </c>
      <c r="B44" t="s">
        <v>100</v>
      </c>
      <c r="C44" t="s">
        <v>101</v>
      </c>
    </row>
    <row r="45" spans="1:4" x14ac:dyDescent="0.25">
      <c r="A45" t="s">
        <v>25</v>
      </c>
      <c r="B45" t="s">
        <v>26</v>
      </c>
    </row>
    <row r="46" spans="1:4" x14ac:dyDescent="0.25">
      <c r="A46" t="s">
        <v>27</v>
      </c>
      <c r="B46" t="s">
        <v>102</v>
      </c>
      <c r="C46" t="s">
        <v>84</v>
      </c>
      <c r="D46" t="str">
        <f>C46</f>
        <v>Căn hộ chung cư số 3708</v>
      </c>
    </row>
    <row r="47" spans="1:4" x14ac:dyDescent="0.25">
      <c r="A47" t="s">
        <v>110</v>
      </c>
      <c r="B47" t="s">
        <v>111</v>
      </c>
      <c r="C47" s="2" t="str">
        <f>TRIM(MID(C46,SEARCH("số",C46),LEN(C46)))</f>
        <v>số 3708</v>
      </c>
      <c r="D47" s="2" t="str">
        <f>C47</f>
        <v>số 3708</v>
      </c>
    </row>
    <row r="48" spans="1:4" x14ac:dyDescent="0.25">
      <c r="A48" t="s">
        <v>90</v>
      </c>
      <c r="B48" t="s">
        <v>91</v>
      </c>
      <c r="C48" t="s">
        <v>115</v>
      </c>
      <c r="D48" s="2" t="str">
        <f>C48</f>
        <v>Tòa nhà Ruby 3</v>
      </c>
    </row>
    <row r="49" spans="1:4" x14ac:dyDescent="0.25">
      <c r="A49" t="s">
        <v>29</v>
      </c>
      <c r="B49" t="s">
        <v>30</v>
      </c>
    </row>
    <row r="50" spans="1:4" x14ac:dyDescent="0.25">
      <c r="A50" t="s">
        <v>28</v>
      </c>
      <c r="B50" t="s">
        <v>31</v>
      </c>
      <c r="C50">
        <v>77.2</v>
      </c>
      <c r="D50">
        <f>C50</f>
        <v>77.2</v>
      </c>
    </row>
    <row r="51" spans="1:4" x14ac:dyDescent="0.25">
      <c r="A51" t="s">
        <v>32</v>
      </c>
      <c r="B51" t="s">
        <v>104</v>
      </c>
      <c r="C51" t="s">
        <v>105</v>
      </c>
    </row>
    <row r="52" spans="1:4" x14ac:dyDescent="0.25">
      <c r="A52" t="s">
        <v>33</v>
      </c>
      <c r="B52" t="s">
        <v>34</v>
      </c>
    </row>
    <row r="53" spans="1:4" x14ac:dyDescent="0.25">
      <c r="A53" t="s">
        <v>35</v>
      </c>
    </row>
    <row r="54" spans="1:4" ht="225" x14ac:dyDescent="0.25">
      <c r="A54" t="s">
        <v>36</v>
      </c>
      <c r="B54" t="s">
        <v>37</v>
      </c>
      <c r="C54" s="16" t="s">
        <v>106</v>
      </c>
      <c r="D54" s="8" t="str">
        <f>C54</f>
        <v>- Số tờ, số thửa và sơ đồ sẽ được điều chỉnh khi có bản đồ địa chính chính quy.
- Giấy chứng nhận này được cấp đổi từ Giấy chứng nhận quyền sử dụng đất, quyền sở hữu nhà ở và tài sản khác gắn liền với đất số DO 690791 do Chi nhánh Văn phòng đăng ký đất đai Hà Nội quận Bắc Từ Liêm cấp ngày 05/4/2024; do nhận chuyển nhượng theo Hợp đồng mua bán căn hộ chung cư số công chứng 1849 lập ngày 16/4/2024 tại Văn phòng công chứng Mỹ Đình.</v>
      </c>
    </row>
    <row r="55" spans="1:4" x14ac:dyDescent="0.25">
      <c r="A55" t="s">
        <v>107</v>
      </c>
      <c r="B55" t="s">
        <v>108</v>
      </c>
      <c r="C55" s="17">
        <v>20000000</v>
      </c>
      <c r="D55" s="17">
        <f>C55</f>
        <v>20000000</v>
      </c>
    </row>
    <row r="56" spans="1:4" x14ac:dyDescent="0.25">
      <c r="A56" t="s">
        <v>109</v>
      </c>
      <c r="D56" s="2" t="str" cm="1">
        <f t="array" ref="D56">vnd_to_words(D55,0,0)</f>
        <v>Hai mươi triệu đồng</v>
      </c>
    </row>
    <row r="57" spans="1:4" x14ac:dyDescent="0.25">
      <c r="A57" t="s">
        <v>113</v>
      </c>
      <c r="D57" s="17">
        <f>C55*C50</f>
        <v>1544000000</v>
      </c>
    </row>
    <row r="58" spans="1:4" x14ac:dyDescent="0.25">
      <c r="A58" t="s">
        <v>114</v>
      </c>
      <c r="D58" t="str" cm="1">
        <f t="array" ref="D58">vnd_to_words(D57,0,0)</f>
        <v>Một tỷ năm trăm bốn mươi bốn triệu đồng</v>
      </c>
    </row>
    <row r="60" spans="1:4" x14ac:dyDescent="0.25">
      <c r="C60" s="1"/>
      <c r="D60" s="1"/>
    </row>
    <row r="61" spans="1:4" x14ac:dyDescent="0.25">
      <c r="C61" s="2"/>
      <c r="D61" s="2"/>
    </row>
    <row r="62" spans="1:4" x14ac:dyDescent="0.25">
      <c r="C62" s="2"/>
      <c r="D62" s="2"/>
    </row>
    <row r="64" spans="1:4" x14ac:dyDescent="0.25">
      <c r="C64" s="3"/>
      <c r="D64" s="3"/>
    </row>
    <row r="65" spans="3:4" x14ac:dyDescent="0.25">
      <c r="D65" s="8"/>
    </row>
    <row r="66" spans="3:4" x14ac:dyDescent="0.25">
      <c r="C66" s="7"/>
    </row>
    <row r="71" spans="3:4" x14ac:dyDescent="0.25">
      <c r="D71" t="str">
        <f t="shared" ref="D71:D87" si="0">IF(ISBLANK(C71),"",C71)</f>
        <v/>
      </c>
    </row>
    <row r="72" spans="3:4" x14ac:dyDescent="0.25">
      <c r="D72" t="str">
        <f t="shared" si="0"/>
        <v/>
      </c>
    </row>
    <row r="73" spans="3:4" x14ac:dyDescent="0.25">
      <c r="D73" t="str">
        <f t="shared" si="0"/>
        <v/>
      </c>
    </row>
    <row r="74" spans="3:4" x14ac:dyDescent="0.25">
      <c r="D74" t="str">
        <f t="shared" si="0"/>
        <v/>
      </c>
    </row>
    <row r="76" spans="3:4" x14ac:dyDescent="0.25">
      <c r="D76" t="str">
        <f t="shared" si="0"/>
        <v/>
      </c>
    </row>
    <row r="77" spans="3:4" x14ac:dyDescent="0.25">
      <c r="D77" t="str">
        <f t="shared" si="0"/>
        <v/>
      </c>
    </row>
    <row r="78" spans="3:4" x14ac:dyDescent="0.25">
      <c r="D78" t="str">
        <f t="shared" si="0"/>
        <v/>
      </c>
    </row>
    <row r="79" spans="3:4" x14ac:dyDescent="0.25">
      <c r="D79" t="str">
        <f t="shared" si="0"/>
        <v/>
      </c>
    </row>
    <row r="80" spans="3:4" x14ac:dyDescent="0.25">
      <c r="D80" t="str">
        <f t="shared" si="0"/>
        <v/>
      </c>
    </row>
    <row r="81" spans="4:4" x14ac:dyDescent="0.25">
      <c r="D81" t="str">
        <f t="shared" si="0"/>
        <v/>
      </c>
    </row>
    <row r="82" spans="4:4" x14ac:dyDescent="0.25">
      <c r="D82" t="str">
        <f t="shared" si="0"/>
        <v/>
      </c>
    </row>
    <row r="83" spans="4:4" x14ac:dyDescent="0.25">
      <c r="D83" t="str">
        <f t="shared" si="0"/>
        <v/>
      </c>
    </row>
    <row r="84" spans="4:4" x14ac:dyDescent="0.25">
      <c r="D84" t="str">
        <f t="shared" si="0"/>
        <v/>
      </c>
    </row>
    <row r="85" spans="4:4" x14ac:dyDescent="0.25">
      <c r="D85" t="str">
        <f t="shared" si="0"/>
        <v/>
      </c>
    </row>
    <row r="86" spans="4:4" x14ac:dyDescent="0.25">
      <c r="D86" t="str">
        <f t="shared" si="0"/>
        <v/>
      </c>
    </row>
    <row r="87" spans="4:4" x14ac:dyDescent="0.25">
      <c r="D87" t="str">
        <f t="shared" si="0"/>
        <v/>
      </c>
    </row>
  </sheetData>
  <pageMargins left="0.7" right="0.7" top="0.75" bottom="0.75" header="0.3" footer="0.3"/>
  <pageSetup paperSize="9" orientation="portrait" r:id="rId1"/>
  <ignoredErrors>
    <ignoredError sqref="D10 D22 D14 D57 D3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38EFD-D60B-4A84-AEB3-50FEF47FD649}">
  <sheetPr codeName="Sheet1"/>
  <dimension ref="A1:E2"/>
  <sheetViews>
    <sheetView workbookViewId="0">
      <selection activeCell="C7" sqref="C7"/>
    </sheetView>
  </sheetViews>
  <sheetFormatPr defaultRowHeight="15" x14ac:dyDescent="0.25"/>
  <cols>
    <col min="2" max="2" width="13.5703125" bestFit="1" customWidth="1"/>
    <col min="3" max="3" width="21.5703125" customWidth="1"/>
    <col min="4" max="4" width="13.85546875" customWidth="1"/>
    <col min="5" max="5" width="14.85546875" customWidth="1"/>
  </cols>
  <sheetData>
    <row r="1" spans="1:5" x14ac:dyDescent="0.25">
      <c r="A1" t="s">
        <v>43</v>
      </c>
      <c r="B1" t="s">
        <v>44</v>
      </c>
      <c r="C1" t="s">
        <v>45</v>
      </c>
      <c r="D1" t="s">
        <v>46</v>
      </c>
      <c r="E1" t="s">
        <v>47</v>
      </c>
    </row>
    <row r="2" spans="1:5" x14ac:dyDescent="0.25">
      <c r="A2" t="s">
        <v>39</v>
      </c>
      <c r="B2" t="s">
        <v>48</v>
      </c>
      <c r="C2" t="s">
        <v>41</v>
      </c>
      <c r="D2" t="s">
        <v>42</v>
      </c>
      <c r="E2" t="s">
        <v>40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WELCOME</vt:lpstr>
      <vt:lpstr>INPUT</vt:lpstr>
      <vt:lpstr>TEMPLATES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Trung Anh Nguyen</dc:creator>
  <cp:lastModifiedBy>Trung Anh Nguyen</cp:lastModifiedBy>
  <cp:lastPrinted>2025-12-30T08:55:13Z</cp:lastPrinted>
  <dcterms:created xsi:type="dcterms:W3CDTF">2015-06-05T18:17:20Z</dcterms:created>
  <dcterms:modified xsi:type="dcterms:W3CDTF">2026-04-16T03:54:24Z</dcterms:modified>
</cp:coreProperties>
</file>