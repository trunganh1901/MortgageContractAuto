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Contract_Automation\"/>
    </mc:Choice>
  </mc:AlternateContent>
  <xr:revisionPtr revIDLastSave="0" documentId="13_ncr:1_{A4D2E7C8-95E6-4D2C-9AB8-295F675BFD33}" xr6:coauthVersionLast="47" xr6:coauthVersionMax="47" xr10:uidLastSave="{00000000-0000-0000-0000-000000000000}"/>
  <bookViews>
    <workbookView xWindow="-13068" yWindow="-5796" windowWidth="13176" windowHeight="22536" firstSheet="2" activeTab="3" xr2:uid="{00000000-000D-0000-FFFF-FFFF00000000}"/>
  </bookViews>
  <sheets>
    <sheet name="UI_DASHBOARD" sheetId="5" r:id="rId1"/>
    <sheet name="Main" sheetId="1" state="hidden" r:id="rId2"/>
    <sheet name="CFG_TEMPLATES" sheetId="3" r:id="rId3"/>
    <sheet name="TPL_HDCT" sheetId="4" r:id="rId4"/>
    <sheet name="TPL_BBGN_PXK" sheetId="7" state="hidden" r:id="rId5"/>
    <sheet name="Items" sheetId="2" r:id="rId6"/>
  </sheets>
  <functionGroups builtInGroupCount="19"/>
  <definedNames>
    <definedName name="xlwings.conf">"{'udfs': []}"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3" l="1"/>
  <c r="D3" i="3"/>
  <c r="D4" i="3"/>
  <c r="D5" i="3"/>
  <c r="D6" i="3"/>
  <c r="D2" i="3"/>
  <c r="E2" i="2" l="1"/>
  <c r="D24" i="7"/>
  <c r="D15" i="7"/>
  <c r="D15" i="4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3" i="7"/>
  <c r="D22" i="7"/>
  <c r="D21" i="7"/>
  <c r="D20" i="7"/>
  <c r="D19" i="7"/>
  <c r="D18" i="7"/>
  <c r="D17" i="7"/>
  <c r="D16" i="7"/>
  <c r="C14" i="7"/>
  <c r="D14" i="7" s="1"/>
  <c r="C13" i="7"/>
  <c r="D13" i="7" s="1"/>
  <c r="C12" i="7"/>
  <c r="D12" i="7" s="1"/>
  <c r="D11" i="7"/>
  <c r="C10" i="7" a="1"/>
  <c r="C10" i="7" s="1"/>
  <c r="D9" i="7"/>
  <c r="D8" i="7"/>
  <c r="C7" i="7"/>
  <c r="D7" i="7" s="1"/>
  <c r="C6" i="7"/>
  <c r="D6" i="7" s="1"/>
  <c r="C5" i="7"/>
  <c r="D5" i="7" s="1"/>
  <c r="D4" i="7"/>
  <c r="C3" i="7"/>
  <c r="C2" i="7"/>
  <c r="C2" i="4"/>
  <c r="C3" i="4"/>
  <c r="C4" i="5"/>
  <c r="C2" i="5"/>
  <c r="D20" i="4" l="1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19" i="4"/>
  <c r="D18" i="4"/>
  <c r="D17" i="4"/>
  <c r="D16" i="4"/>
  <c r="C14" i="4"/>
  <c r="D14" i="4" s="1"/>
  <c r="C13" i="4"/>
  <c r="D13" i="4" s="1"/>
  <c r="C12" i="4"/>
  <c r="D12" i="4" s="1"/>
  <c r="D11" i="4"/>
  <c r="C10" i="4" a="1"/>
  <c r="C10" i="4" s="1"/>
  <c r="D9" i="4"/>
  <c r="D8" i="4"/>
  <c r="C7" i="4"/>
  <c r="D7" i="4" s="1"/>
  <c r="C6" i="4"/>
  <c r="D6" i="4" s="1"/>
  <c r="C5" i="4"/>
  <c r="D5" i="4" s="1"/>
  <c r="D4" i="4"/>
  <c r="D12" i="1"/>
  <c r="C7" i="1" a="1"/>
  <c r="C7" i="1" s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6" i="1"/>
  <c r="D15" i="1"/>
  <c r="D14" i="1"/>
  <c r="D13" i="1"/>
  <c r="C11" i="1"/>
  <c r="D11" i="1" s="1"/>
  <c r="C10" i="1"/>
  <c r="D10" i="1" s="1"/>
  <c r="C9" i="1"/>
  <c r="D9" i="1" s="1"/>
  <c r="D8" i="1"/>
  <c r="D6" i="1"/>
  <c r="D5" i="1"/>
  <c r="C4" i="1"/>
  <c r="D4" i="1" s="1"/>
  <c r="C3" i="1"/>
  <c r="D3" i="1" s="1"/>
  <c r="C2" i="1"/>
  <c r="D2" i="1" s="1"/>
  <c r="D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<sst xmlns="http://schemas.openxmlformats.org/spreadsheetml/2006/main" count="158" uniqueCount="90">
  <si>
    <t>HDNT</t>
  </si>
  <si>
    <t>Ngày của HĐ Nguyên tắc</t>
  </si>
  <si>
    <t>HDNT_DAY</t>
  </si>
  <si>
    <t>HDNT_MONTH</t>
  </si>
  <si>
    <t>HDNT_YEAR</t>
  </si>
  <si>
    <t>STT_HD</t>
  </si>
  <si>
    <t>Số thứ tự Hợp đồng cụ thể</t>
  </si>
  <si>
    <t>TEN_KH</t>
  </si>
  <si>
    <t>Tên Công ty</t>
  </si>
  <si>
    <t>KH_ABB</t>
  </si>
  <si>
    <t>Tên viết tắt</t>
  </si>
  <si>
    <t>NGAY_HD</t>
  </si>
  <si>
    <t>Ngày hợp đồng cụ thể</t>
  </si>
  <si>
    <t>DAY</t>
  </si>
  <si>
    <t>MONTH</t>
  </si>
  <si>
    <t>YEAR</t>
  </si>
  <si>
    <t>MST_KH</t>
  </si>
  <si>
    <t>Mã số thuế</t>
  </si>
  <si>
    <t>DC_KH</t>
  </si>
  <si>
    <t>Địa chỉ KH</t>
  </si>
  <si>
    <t>EMAIL_KH</t>
  </si>
  <si>
    <t>Email KH</t>
  </si>
  <si>
    <t>GENDER</t>
  </si>
  <si>
    <t>Giới tính NĐD</t>
  </si>
  <si>
    <t>Ông</t>
  </si>
  <si>
    <t>TEN_REP</t>
  </si>
  <si>
    <t>Tên NĐD</t>
  </si>
  <si>
    <t>ten_hang</t>
  </si>
  <si>
    <t>dvt</t>
  </si>
  <si>
    <t>so_luong</t>
  </si>
  <si>
    <t>don_gia</t>
  </si>
  <si>
    <t>thanh_tien</t>
  </si>
  <si>
    <t>Công ty Cổ phần Cát Minh</t>
  </si>
  <si>
    <t>CM</t>
  </si>
  <si>
    <t>0101879588</t>
  </si>
  <si>
    <t>Khu Thủ công, Xã Phù Đổng, Thành phố Hà Nội, Việt Nam.</t>
  </si>
  <si>
    <t>Nguyễn Văn Tiến</t>
  </si>
  <si>
    <t>HDCT</t>
  </si>
  <si>
    <t>TPL_HDCT</t>
  </si>
  <si>
    <t>TemplateCode</t>
  </si>
  <si>
    <t>ExcelSheet</t>
  </si>
  <si>
    <t>DocxFile</t>
  </si>
  <si>
    <t>Description</t>
  </si>
  <si>
    <t>HDCT.docx</t>
  </si>
  <si>
    <t>BBGN_PXK.docx</t>
  </si>
  <si>
    <t>Template Code</t>
  </si>
  <si>
    <t>Word Template</t>
  </si>
  <si>
    <t>VAT_RATE</t>
  </si>
  <si>
    <t>0.08</t>
  </si>
  <si>
    <t>Thuế suất VAT</t>
  </si>
  <si>
    <t>Hợp đồng cụ thể</t>
  </si>
  <si>
    <t>FilePrefix</t>
  </si>
  <si>
    <t>RequiresItems</t>
  </si>
  <si>
    <t>BBGN_PXK</t>
  </si>
  <si>
    <t>TPL_BBGN_PXK</t>
  </si>
  <si>
    <t>Biên bản giao nhận kiêm PXK</t>
  </si>
  <si>
    <t>Source sheet:</t>
  </si>
  <si>
    <t>Ouput Folder:</t>
  </si>
  <si>
    <t>Chọn mẫu ở ô B2</t>
  </si>
  <si>
    <t>Công ty TNHH thương mại và sản xuất Tân Hòa Phát</t>
  </si>
  <si>
    <t>THP</t>
  </si>
  <si>
    <t>2301351830</t>
  </si>
  <si>
    <t>Khu phố Xuân Hoà, Phường Nhân Hòa, Tỉnh Bắc Ninh</t>
  </si>
  <si>
    <t>Nguyễn Văn Trọng</t>
  </si>
  <si>
    <t>SO_HOA_DON</t>
  </si>
  <si>
    <t>Số Hóa đơn</t>
  </si>
  <si>
    <t>Enabled</t>
  </si>
  <si>
    <t>DonDatHang</t>
  </si>
  <si>
    <t>TPL_DonDatHang</t>
  </si>
  <si>
    <t>DonDatHang.docx</t>
  </si>
  <si>
    <t>Đơn đặt hàng</t>
  </si>
  <si>
    <t>PhieuThuTT200</t>
  </si>
  <si>
    <t>TPL_PhieuThuTT200</t>
  </si>
  <si>
    <t>PhieuThuTT200.docx</t>
  </si>
  <si>
    <t>Phiếu thu Thông tư 200</t>
  </si>
  <si>
    <t>m</t>
  </si>
  <si>
    <t>TPL_HD_RIENGLE</t>
  </si>
  <si>
    <t>HD_RIENGLE.docx</t>
  </si>
  <si>
    <t>HD_RIENGLE</t>
  </si>
  <si>
    <t>Hợp đồng riêng lẻ</t>
  </si>
  <si>
    <t>BaoGia</t>
  </si>
  <si>
    <t>TPL_BaoGia</t>
  </si>
  <si>
    <t>BaoGia.docx</t>
  </si>
  <si>
    <t>Báo giá</t>
  </si>
  <si>
    <t>Vải polyester các màu</t>
  </si>
  <si>
    <t>ZT</t>
  </si>
  <si>
    <t>Công ty CP Đầu Tư Toàn Cầu Hoàng Gia</t>
  </si>
  <si>
    <t>0108170737</t>
  </si>
  <si>
    <t>Số 11, Ngõ 10, Đường Láng Hạ, Phường Giảng Võ, Thành phố Hà Nội, Việt Nam</t>
  </si>
  <si>
    <t>D:\Desktop\Contract_Automation\Output\Cong_ty_CP_au_Tu_Toan_Cau_Hoang_Gia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</si>
</sst>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4" fontId="0" fillId="0" borderId="0" xfId="0" applyNumberFormat="1"/>
    <xf numFmtId="4" fontId="0" fillId="0" borderId="0" xfId="0" applyNumberFormat="1"/>
    <xf numFmtId="3" fontId="0" fillId="0" borderId="0" xfId="0" applyNumberFormat="1"/>
    <xf numFmtId="0" fontId="1" fillId="0" borderId="1" xfId="0" applyFont="1" applyBorder="1" applyAlignment="1">
      <alignment horizontal="center" vertical="top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2" fillId="0" borderId="0" xfId="1"/>
    <xf numFmtId="0" fontId="4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1</xdr:row>
          <xdr:rowOff>19050</xdr:rowOff>
        </xdr:from>
        <xdr:to>
          <xdr:col>5</xdr:col>
          <xdr:colOff>419100</xdr:colOff>
          <xdr:row>3</xdr:row>
          <xdr:rowOff>9525</xdr:rowOff>
        </xdr:to>
        <xdr:sp macro="" textlink="">
          <xdr:nvSpPr>
            <xdr:cNvPr id="2050" name="BTN_HDC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7</xdr:row>
          <xdr:rowOff>38100</xdr:rowOff>
        </xdr:from>
        <xdr:to>
          <xdr:col>9</xdr:col>
          <xdr:colOff>123825</xdr:colOff>
          <xdr:row>9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</xdr:row>
          <xdr:rowOff>0</xdr:rowOff>
        </xdr:from>
        <xdr:to>
          <xdr:col>9</xdr:col>
          <xdr:colOff>161925</xdr:colOff>
          <xdr:row>2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this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10</xdr:row>
          <xdr:rowOff>142875</xdr:rowOff>
        </xdr:from>
        <xdr:to>
          <xdr:col>9</xdr:col>
          <xdr:colOff>409575</xdr:colOff>
          <xdr:row>15</xdr:row>
          <xdr:rowOff>314325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Bảng hàng hóa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161925</xdr:rowOff>
        </xdr:from>
        <xdr:to>
          <xdr:col>8</xdr:col>
          <xdr:colOff>514350</xdr:colOff>
          <xdr:row>8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66675</xdr:rowOff>
        </xdr:from>
        <xdr:to>
          <xdr:col>8</xdr:col>
          <xdr:colOff>219075</xdr:colOff>
          <xdr:row>3</xdr:row>
          <xdr:rowOff>123825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BackTo_DashBoard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:C8"/>
  <sheetViews>
    <sheetView workbookViewId="0">
      <selection activeCell="H18" sqref="H18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>
    <row r="1" spans="1:3" x14ac:dyDescent="0.25">
      <c r="A1" t="s">
        <v>58</v>
      </c>
    </row>
    <row r="2" spans="1:3" x14ac:dyDescent="0.25">
      <c r="B2" t="s">
        <v>37</v>
      </c>
      <c r="C2" t="str">
        <f>IFERROR(_xlfn.XLOOKUP(B2,CFG_TEMPLATES!A:A,CFG_TEMPLATES!E:E),)</f>
        <v>Hợp đồng cụ thể</v>
      </c>
    </row>
    <row r="4" spans="1:3" x14ac:dyDescent="0.25">
      <c r="C4" t="str">
        <f>IFERROR(_xlfn.XLOOKUP(B2,CFG_TEMPLATES!A:A,CFG_TEMPLATES!B:B),"")</f>
        <v>TPL_HDCT</v>
      </c>
    </row>
    <row r="7" spans="1:3" x14ac:dyDescent="0.25">
      <c r="A7" t="s">
        <v>57</v>
      </c>
      <c r="B7" t="s">
        <v>89</v>
      </c>
    </row>
    <row r="8" spans="1:3" x14ac:dyDescent="0.25">
      <c r="A8" t="s">
        <v>56</v>
      </c>
      <c r="B8" t="s">
        <v>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TN_HDCT">
              <controlPr defaultSize="0" print="0" autoFill="0" autoPict="0" macro="[0]!GoToSheet_FromC4">
                <anchor moveWithCells="1" sizeWithCells="1">
                  <from>
                    <xdr:col>3</xdr:col>
                    <xdr:colOff>485775</xdr:colOff>
                    <xdr:row>1</xdr:row>
                    <xdr:rowOff>19050</xdr:rowOff>
                  </from>
                  <to>
                    <xdr:col>5</xdr:col>
                    <xdr:colOff>419100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FDB4C2-795B-4B75-8AEE-C22F586BBA81}">
          <x14:formula1>
            <xm:f>CFG_TEMPLATES!$A$2:$A$99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5"/>
  <sheetViews>
    <sheetView showGridLines="0" zoomScaleNormal="100" workbookViewId="0">
      <selection activeCell="H8" sqref="H8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A1" t="s">
        <v>0</v>
      </c>
      <c r="B1" t="s">
        <v>1</v>
      </c>
      <c r="C1" s="1">
        <v>45658</v>
      </c>
      <c r="D1" s="1">
        <f>IF(ISBLANK(C1),"",C1)</f>
        <v>45658</v>
      </c>
      <c r="Z1" t="s">
        <v>37</v>
      </c>
    </row>
    <row r="2" spans="1:26" x14ac:dyDescent="0.25">
      <c r="A2" t="s">
        <v>2</v>
      </c>
      <c r="C2" s="2" t="str">
        <f>TEXT(DAY(C1),"00")</f>
        <v>01</v>
      </c>
      <c r="D2" s="2" t="str">
        <f>IF(ISBLANK(C2),"",C2)</f>
        <v>01</v>
      </c>
    </row>
    <row r="3" spans="1:26" x14ac:dyDescent="0.25">
      <c r="A3" t="s">
        <v>3</v>
      </c>
      <c r="C3" s="2" t="str">
        <f>TEXT(MONTH(C1),"00")</f>
        <v>01</v>
      </c>
      <c r="D3" s="2" t="str">
        <f>IF(ISBLANK(C3),"",C3)</f>
        <v>01</v>
      </c>
    </row>
    <row r="4" spans="1:26" x14ac:dyDescent="0.25">
      <c r="A4" t="s">
        <v>4</v>
      </c>
      <c r="C4">
        <f>YEAR(C1)</f>
        <v>2025</v>
      </c>
      <c r="D4">
        <f>IF(ISBLANK(C4),"",C4)</f>
        <v>2025</v>
      </c>
    </row>
    <row r="5" spans="1:26" x14ac:dyDescent="0.25">
      <c r="A5" t="s">
        <v>5</v>
      </c>
      <c r="B5" t="s">
        <v>6</v>
      </c>
      <c r="C5" s="4">
        <v>1</v>
      </c>
      <c r="D5" s="10" t="str">
        <f>IF(ISBLANK(C5),"",TEXT(C5,"00"))</f>
        <v>01</v>
      </c>
    </row>
    <row r="6" spans="1:26" x14ac:dyDescent="0.25">
      <c r="A6" t="s">
        <v>7</v>
      </c>
      <c r="B6" t="s">
        <v>8</v>
      </c>
      <c r="C6" t="s">
        <v>32</v>
      </c>
      <c r="D6" t="str">
        <f>IF(ISBLANK(C6),"",C6)</f>
        <v>Công ty Cổ phần Cát Minh</v>
      </c>
    </row>
    <row r="7" spans="1:26" x14ac:dyDescent="0.25">
      <c r="A7" t="s">
        <v>9</v>
      </c>
      <c r="B7" t="s">
        <v>10</v>
      </c>
      <c r="C7" t="str" cm="1">
        <f t="array" ref="C7">_xlfn.TEXTJOIN("", TRUE, LEFT(_xlfn.TEXTSPLIT(C6," "), 1))</f>
        <v>CtCpCM</v>
      </c>
      <c r="D7" t="s">
        <v>33</v>
      </c>
    </row>
    <row r="8" spans="1:26" x14ac:dyDescent="0.25">
      <c r="A8" t="s">
        <v>11</v>
      </c>
      <c r="B8" t="s">
        <v>12</v>
      </c>
      <c r="C8" s="1">
        <v>46009</v>
      </c>
      <c r="D8" s="1">
        <f>IF(ISBLANK(C8),"",C8)</f>
        <v>46009</v>
      </c>
    </row>
    <row r="9" spans="1:26" x14ac:dyDescent="0.25">
      <c r="A9" t="s">
        <v>13</v>
      </c>
      <c r="C9" s="2" t="str">
        <f>TEXT(DAY(C8),"00")</f>
        <v>18</v>
      </c>
      <c r="D9" s="2" t="str">
        <f>IF(ISBLANK(C9),"",C9)</f>
        <v>18</v>
      </c>
    </row>
    <row r="10" spans="1:26" x14ac:dyDescent="0.25">
      <c r="A10" t="s">
        <v>14</v>
      </c>
      <c r="C10" s="2" t="str">
        <f>TEXT(MONTH(C8),"00")</f>
        <v>12</v>
      </c>
      <c r="D10" s="2" t="str">
        <f>IF(ISBLANK(C10),"",C10)</f>
        <v>12</v>
      </c>
    </row>
    <row r="11" spans="1:26" x14ac:dyDescent="0.25">
      <c r="A11" t="s">
        <v>15</v>
      </c>
      <c r="C11">
        <f>YEAR(C8)</f>
        <v>2025</v>
      </c>
      <c r="D11">
        <f>IF(ISBLANK(C11),"",C11)</f>
        <v>2025</v>
      </c>
    </row>
    <row r="12" spans="1:26" x14ac:dyDescent="0.25">
      <c r="A12" t="s">
        <v>16</v>
      </c>
      <c r="B12" t="s">
        <v>17</v>
      </c>
      <c r="C12" s="3" t="s">
        <v>34</v>
      </c>
      <c r="D12" s="2" t="str">
        <f>IF(ISBLANK(C12),"",TEXT(C12,"000000000"))</f>
        <v>101879588</v>
      </c>
    </row>
    <row r="13" spans="1:26" x14ac:dyDescent="0.25">
      <c r="A13" t="s">
        <v>18</v>
      </c>
      <c r="B13" t="s">
        <v>19</v>
      </c>
      <c r="C13" t="s">
        <v>35</v>
      </c>
      <c r="D13" t="str">
        <f>IF(ISBLANK(C13),"",C13)</f>
        <v>Khu Thủ công, Xã Phù Đổng, Thành phố Hà Nội, Việt Nam.</v>
      </c>
    </row>
    <row r="14" spans="1:26" x14ac:dyDescent="0.25">
      <c r="A14" t="s">
        <v>20</v>
      </c>
      <c r="B14" t="s">
        <v>21</v>
      </c>
      <c r="C14" s="11"/>
      <c r="D14" t="str">
        <f>IF(ISBLANK(C14),"",C14)</f>
        <v/>
      </c>
    </row>
    <row r="15" spans="1:26" x14ac:dyDescent="0.25">
      <c r="A15" t="s">
        <v>22</v>
      </c>
      <c r="B15" t="s">
        <v>23</v>
      </c>
      <c r="C15" t="s">
        <v>24</v>
      </c>
      <c r="D15" t="str">
        <f>IF(ISBLANK(C15),"",C15)</f>
        <v>Ông</v>
      </c>
    </row>
    <row r="16" spans="1:26" x14ac:dyDescent="0.25">
      <c r="A16" t="s">
        <v>25</v>
      </c>
      <c r="B16" t="s">
        <v>26</v>
      </c>
      <c r="C16" t="s">
        <v>36</v>
      </c>
      <c r="D16" t="str">
        <f>IF(ISBLANK(C16),"",C16)</f>
        <v>Nguyễn Văn Tiến</v>
      </c>
    </row>
    <row r="18" spans="4:4" x14ac:dyDescent="0.25">
      <c r="D18" t="str">
        <f t="shared" ref="D18:D35" si="0">IF(ISBLANK(C18),"",C18)</f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  <row r="26" spans="4:4" x14ac:dyDescent="0.25">
      <c r="D26" t="str">
        <f t="shared" si="0"/>
        <v/>
      </c>
    </row>
    <row r="27" spans="4:4" x14ac:dyDescent="0.25">
      <c r="D27" t="str">
        <f t="shared" si="0"/>
        <v/>
      </c>
    </row>
    <row r="28" spans="4:4" x14ac:dyDescent="0.25">
      <c r="D28" t="str">
        <f t="shared" si="0"/>
        <v/>
      </c>
    </row>
    <row r="29" spans="4:4" x14ac:dyDescent="0.25">
      <c r="D29" t="str">
        <f t="shared" si="0"/>
        <v/>
      </c>
    </row>
    <row r="30" spans="4:4" x14ac:dyDescent="0.25">
      <c r="D30" t="str">
        <f t="shared" si="0"/>
        <v/>
      </c>
    </row>
    <row r="31" spans="4:4" x14ac:dyDescent="0.25">
      <c r="D31" t="str">
        <f t="shared" si="0"/>
        <v/>
      </c>
    </row>
    <row r="32" spans="4:4" x14ac:dyDescent="0.25">
      <c r="D32" t="str">
        <f t="shared" si="0"/>
        <v/>
      </c>
    </row>
    <row r="33" spans="4:4" x14ac:dyDescent="0.25">
      <c r="D33" t="str">
        <f t="shared" si="0"/>
        <v/>
      </c>
    </row>
    <row r="34" spans="4:4" x14ac:dyDescent="0.25">
      <c r="D34" t="str">
        <f t="shared" si="0"/>
        <v/>
      </c>
    </row>
    <row r="35" spans="4:4" x14ac:dyDescent="0.25">
      <c r="D35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C327C-702A-4298-9003-D01CBA2B320E}">
  <sheetPr codeName="Sheet3"/>
  <dimension ref="A1:G7"/>
  <sheetViews>
    <sheetView showGridLines="0" zoomScaleNormal="100" workbookViewId="0">
      <selection activeCell="G3" sqref="G3"/>
    </sheetView>
  </sheetViews>
  <sheetFormatPr defaultRowHeight="15" x14ac:dyDescent="0.25"/>
  <cols>
    <col min="1" max="1" width="16.7109375" customWidth="1"/>
    <col min="2" max="2" width="15" customWidth="1"/>
    <col min="3" max="3" width="17.5703125" customWidth="1"/>
    <col min="4" max="4" width="18" customWidth="1"/>
    <col min="5" max="5" width="24.85546875" customWidth="1"/>
    <col min="6" max="6" width="14" bestFit="1" customWidth="1"/>
  </cols>
  <sheetData>
    <row r="1" spans="1:7" x14ac:dyDescent="0.25">
      <c r="A1" s="12" t="s">
        <v>39</v>
      </c>
      <c r="B1" s="12" t="s">
        <v>40</v>
      </c>
      <c r="C1" s="12" t="s">
        <v>41</v>
      </c>
      <c r="D1" s="12" t="s">
        <v>51</v>
      </c>
      <c r="E1" s="12" t="s">
        <v>42</v>
      </c>
      <c r="F1" s="12" t="s">
        <v>52</v>
      </c>
      <c r="G1" s="12" t="s">
        <v>66</v>
      </c>
    </row>
    <row r="2" spans="1:7" x14ac:dyDescent="0.25">
      <c r="A2" t="s">
        <v>37</v>
      </c>
      <c r="B2" t="s">
        <v>38</v>
      </c>
      <c r="C2" t="s">
        <v>43</v>
      </c>
      <c r="D2" t="str">
        <f>A2</f>
        <v>HDCT</v>
      </c>
      <c r="E2" t="s">
        <v>50</v>
      </c>
      <c r="F2" t="b">
        <v>1</v>
      </c>
      <c r="G2" t="b">
        <v>0</v>
      </c>
    </row>
    <row r="3" spans="1:7" x14ac:dyDescent="0.25">
      <c r="A3" t="s">
        <v>53</v>
      </c>
      <c r="B3" t="s">
        <v>54</v>
      </c>
      <c r="C3" t="s">
        <v>44</v>
      </c>
      <c r="D3" t="str">
        <f t="shared" ref="D3:D7" si="0">A3</f>
        <v>BBGN_PXK</v>
      </c>
      <c r="E3" t="s">
        <v>55</v>
      </c>
      <c r="F3" t="b">
        <v>1</v>
      </c>
      <c r="G3" t="b">
        <v>1</v>
      </c>
    </row>
    <row r="4" spans="1:7" x14ac:dyDescent="0.25">
      <c r="A4" t="s">
        <v>67</v>
      </c>
      <c r="B4" t="s">
        <v>68</v>
      </c>
      <c r="C4" t="s">
        <v>69</v>
      </c>
      <c r="D4" t="str">
        <f t="shared" si="0"/>
        <v>DonDatHang</v>
      </c>
      <c r="E4" t="s">
        <v>70</v>
      </c>
      <c r="F4" t="b">
        <v>1</v>
      </c>
      <c r="G4" t="b">
        <v>0</v>
      </c>
    </row>
    <row r="5" spans="1:7" x14ac:dyDescent="0.25">
      <c r="A5" t="s">
        <v>71</v>
      </c>
      <c r="B5" t="s">
        <v>72</v>
      </c>
      <c r="C5" t="s">
        <v>73</v>
      </c>
      <c r="D5" t="str">
        <f t="shared" si="0"/>
        <v>PhieuThuTT200</v>
      </c>
      <c r="E5" t="s">
        <v>74</v>
      </c>
      <c r="F5" t="b">
        <v>0</v>
      </c>
      <c r="G5" t="b">
        <v>0</v>
      </c>
    </row>
    <row r="6" spans="1:7" x14ac:dyDescent="0.25">
      <c r="A6" t="s">
        <v>78</v>
      </c>
      <c r="B6" t="s">
        <v>76</v>
      </c>
      <c r="C6" t="s">
        <v>77</v>
      </c>
      <c r="D6" t="str">
        <f t="shared" si="0"/>
        <v>HD_RIENGLE</v>
      </c>
      <c r="E6" t="s">
        <v>79</v>
      </c>
      <c r="F6" t="b">
        <v>1</v>
      </c>
      <c r="G6" t="b">
        <v>0</v>
      </c>
    </row>
    <row r="7" spans="1:7" x14ac:dyDescent="0.25">
      <c r="A7" t="s">
        <v>80</v>
      </c>
      <c r="B7" t="s">
        <v>81</v>
      </c>
      <c r="C7" t="s">
        <v>82</v>
      </c>
      <c r="D7" t="str">
        <f t="shared" si="0"/>
        <v>BaoGia</v>
      </c>
      <c r="E7" t="s">
        <v>83</v>
      </c>
      <c r="F7" t="b">
        <v>1</v>
      </c>
      <c r="G7" t="b">
        <v>0</v>
      </c>
    </row>
  </sheetData>
  <dataValidations count="1">
    <dataValidation type="list" allowBlank="1" showInputMessage="1" showErrorMessage="1" errorTitle="Invalid" error="TRUE/FALSE ONLY" sqref="F2:G30" xr:uid="{8A7408E0-4D50-42C3-B06C-35990B67044F}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38"/>
  <sheetViews>
    <sheetView showGridLines="0" tabSelected="1" topLeftCell="D1" zoomScaleNormal="100" workbookViewId="0">
      <selection activeCell="C22" sqref="C22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B1" t="s">
        <v>45</v>
      </c>
      <c r="C1" t="s">
        <v>37</v>
      </c>
    </row>
    <row r="2" spans="1:26" x14ac:dyDescent="0.25">
      <c r="B2" t="s">
        <v>46</v>
      </c>
      <c r="C2" t="str">
        <f>IFERROR(_xlfn.XLOOKUP(C1,CFG_TEMPLATES!A:A,CFG_TEMPLATES!C:C),"")</f>
        <v>HDCT.docx</v>
      </c>
    </row>
    <row r="3" spans="1:26" x14ac:dyDescent="0.25">
      <c r="B3" t="s">
        <v>42</v>
      </c>
      <c r="C3" t="str">
        <f>IFERROR(_xlfn.XLOOKUP(C1,CFG_TEMPLATES!A:A,CFG_TEMPLATES!E:E),"")</f>
        <v>Hợp đồng cụ thể</v>
      </c>
    </row>
    <row r="4" spans="1:26" x14ac:dyDescent="0.25">
      <c r="A4" t="s">
        <v>0</v>
      </c>
      <c r="B4" t="s">
        <v>1</v>
      </c>
      <c r="C4" s="1">
        <v>45731</v>
      </c>
      <c r="D4" s="1">
        <f>IF(ISBLANK(C4),"",C4)</f>
        <v>45731</v>
      </c>
      <c r="Z4" t="s">
        <v>37</v>
      </c>
    </row>
    <row r="5" spans="1:26" hidden="1" x14ac:dyDescent="0.25">
      <c r="A5" t="s">
        <v>2</v>
      </c>
      <c r="C5" s="2" t="str">
        <f>TEXT(DAY(C4),"00")</f>
        <v>15</v>
      </c>
      <c r="D5" s="2" t="str">
        <f>IF(ISBLANK(C5),"",C5)</f>
        <v>15</v>
      </c>
    </row>
    <row r="6" spans="1:26" hidden="1" x14ac:dyDescent="0.25">
      <c r="A6" t="s">
        <v>3</v>
      </c>
      <c r="C6" s="2" t="str">
        <f>TEXT(MONTH(C4),"00")</f>
        <v>03</v>
      </c>
      <c r="D6" s="2" t="str">
        <f>IF(ISBLANK(C6),"",C6)</f>
        <v>03</v>
      </c>
    </row>
    <row r="7" spans="1:26" hidden="1" x14ac:dyDescent="0.25">
      <c r="A7" t="s">
        <v>4</v>
      </c>
      <c r="C7">
        <f>YEAR(C4)</f>
        <v>2025</v>
      </c>
      <c r="D7">
        <f>IF(ISBLANK(C7),"",C7)</f>
        <v>2025</v>
      </c>
    </row>
    <row r="8" spans="1:26" x14ac:dyDescent="0.25">
      <c r="A8" t="s">
        <v>5</v>
      </c>
      <c r="B8" t="s">
        <v>6</v>
      </c>
      <c r="C8" s="4">
        <v>2</v>
      </c>
      <c r="D8" s="10" t="str">
        <f>IF(ISBLANK(C8),"",TEXT(C8,"00"))</f>
        <v>02</v>
      </c>
    </row>
    <row r="9" spans="1:26" x14ac:dyDescent="0.25">
      <c r="A9" t="s">
        <v>7</v>
      </c>
      <c r="B9" t="s">
        <v>8</v>
      </c>
      <c r="C9" t="s">
        <v>86</v>
      </c>
      <c r="D9" t="str">
        <f>IF(ISBLANK(C9),"",C9)</f>
        <v>Công ty CP Đầu Tư Toàn Cầu Hoàng Gia</v>
      </c>
    </row>
    <row r="10" spans="1:26" x14ac:dyDescent="0.25">
      <c r="A10" t="s">
        <v>9</v>
      </c>
      <c r="B10" t="s">
        <v>10</v>
      </c>
      <c r="C10" t="str" cm="1">
        <f t="array" ref="C10">_xlfn.TEXTJOIN("", TRUE, LEFT(_xlfn.TEXTSPLIT(C9," "), 1))</f>
        <v>CtCĐTTCHG</v>
      </c>
      <c r="D10" t="s">
        <v>85</v>
      </c>
    </row>
    <row r="11" spans="1:26" x14ac:dyDescent="0.25">
      <c r="A11" t="s">
        <v>11</v>
      </c>
      <c r="B11" t="s">
        <v>12</v>
      </c>
      <c r="C11" s="1">
        <v>46090</v>
      </c>
      <c r="D11" s="1">
        <f t="shared" ref="D11:D20" si="0">IF(ISBLANK(C11),"",C11)</f>
        <v>46090</v>
      </c>
    </row>
    <row r="12" spans="1:26" hidden="1" x14ac:dyDescent="0.25">
      <c r="A12" t="s">
        <v>13</v>
      </c>
      <c r="C12" s="2" t="str">
        <f>TEXT(DAY(C11),"00")</f>
        <v>09</v>
      </c>
      <c r="D12" s="2" t="str">
        <f t="shared" si="0"/>
        <v>09</v>
      </c>
    </row>
    <row r="13" spans="1:26" hidden="1" x14ac:dyDescent="0.25">
      <c r="A13" t="s">
        <v>14</v>
      </c>
      <c r="C13" s="2" t="str">
        <f>TEXT(MONTH(C11),"00")</f>
        <v>03</v>
      </c>
      <c r="D13" s="2" t="str">
        <f t="shared" si="0"/>
        <v>03</v>
      </c>
    </row>
    <row r="14" spans="1:26" hidden="1" x14ac:dyDescent="0.25">
      <c r="A14" t="s">
        <v>15</v>
      </c>
      <c r="C14">
        <f>YEAR(C11)</f>
        <v>2026</v>
      </c>
      <c r="D14">
        <f t="shared" si="0"/>
        <v>2026</v>
      </c>
    </row>
    <row r="15" spans="1:26" x14ac:dyDescent="0.25">
      <c r="A15" t="s">
        <v>16</v>
      </c>
      <c r="B15" t="s">
        <v>17</v>
      </c>
      <c r="C15" s="3" t="s">
        <v>87</v>
      </c>
      <c r="D15" s="3" t="str">
        <f t="shared" si="0"/>
        <v>0108170737</v>
      </c>
    </row>
    <row r="16" spans="1:26" ht="45" x14ac:dyDescent="0.25">
      <c r="A16" t="s">
        <v>18</v>
      </c>
      <c r="B16" t="s">
        <v>19</v>
      </c>
      <c r="C16" t="s">
        <v>88</v>
      </c>
      <c r="D16" s="14" t="str">
        <f t="shared" si="0"/>
        <v>Số 11, Ngõ 10, Đường Láng Hạ, Phường Giảng Võ, Thành phố Hà Nội, Việt Nam</v>
      </c>
    </row>
    <row r="17" spans="1:4" x14ac:dyDescent="0.25">
      <c r="A17" t="s">
        <v>20</v>
      </c>
      <c r="B17" t="s">
        <v>21</v>
      </c>
      <c r="C17" s="11"/>
      <c r="D17" t="str">
        <f t="shared" si="0"/>
        <v/>
      </c>
    </row>
    <row r="18" spans="1:4" x14ac:dyDescent="0.25">
      <c r="A18" t="s">
        <v>22</v>
      </c>
      <c r="B18" t="s">
        <v>23</v>
      </c>
      <c r="C18" t="s">
        <v>24</v>
      </c>
      <c r="D18" t="str">
        <f t="shared" si="0"/>
        <v>Ông</v>
      </c>
    </row>
    <row r="19" spans="1:4" x14ac:dyDescent="0.25">
      <c r="A19" t="s">
        <v>25</v>
      </c>
      <c r="B19" t="s">
        <v>26</v>
      </c>
      <c r="D19" t="str">
        <f t="shared" si="0"/>
        <v/>
      </c>
    </row>
    <row r="20" spans="1:4" x14ac:dyDescent="0.25">
      <c r="A20" t="s">
        <v>47</v>
      </c>
      <c r="B20" t="s">
        <v>49</v>
      </c>
      <c r="C20" t="s">
        <v>48</v>
      </c>
      <c r="D20" t="str">
        <f t="shared" si="0"/>
        <v>0.08</v>
      </c>
    </row>
    <row r="21" spans="1:4" x14ac:dyDescent="0.25">
      <c r="A21" t="s">
        <v>64</v>
      </c>
      <c r="B21" t="s">
        <v>65</v>
      </c>
      <c r="C21">
        <v>69</v>
      </c>
      <c r="D21">
        <f t="shared" ref="D21:D38" si="1">IF(ISBLANK(C21),"",C21)</f>
        <v>69</v>
      </c>
    </row>
    <row r="22" spans="1:4" x14ac:dyDescent="0.25">
      <c r="D22" t="str">
        <f t="shared" si="1"/>
        <v/>
      </c>
    </row>
    <row r="23" spans="1:4" x14ac:dyDescent="0.25">
      <c r="D23" t="str">
        <f t="shared" si="1"/>
        <v/>
      </c>
    </row>
    <row r="24" spans="1:4" x14ac:dyDescent="0.25">
      <c r="D24" t="str">
        <f t="shared" si="1"/>
        <v/>
      </c>
    </row>
    <row r="25" spans="1:4" x14ac:dyDescent="0.25">
      <c r="D25" t="str">
        <f t="shared" si="1"/>
        <v/>
      </c>
    </row>
    <row r="26" spans="1:4" x14ac:dyDescent="0.25">
      <c r="D26" t="str">
        <f t="shared" si="1"/>
        <v/>
      </c>
    </row>
    <row r="27" spans="1:4" x14ac:dyDescent="0.25">
      <c r="D27" t="str">
        <f t="shared" si="1"/>
        <v/>
      </c>
    </row>
    <row r="28" spans="1:4" x14ac:dyDescent="0.25">
      <c r="D28" t="str">
        <f t="shared" si="1"/>
        <v/>
      </c>
    </row>
    <row r="29" spans="1:4" x14ac:dyDescent="0.25">
      <c r="D29" t="str">
        <f t="shared" si="1"/>
        <v/>
      </c>
    </row>
    <row r="30" spans="1:4" x14ac:dyDescent="0.25">
      <c r="D30" t="str">
        <f t="shared" si="1"/>
        <v/>
      </c>
    </row>
    <row r="31" spans="1:4" x14ac:dyDescent="0.25">
      <c r="D31" t="str">
        <f t="shared" si="1"/>
        <v/>
      </c>
    </row>
    <row r="32" spans="1:4" x14ac:dyDescent="0.25">
      <c r="D32" t="str">
        <f t="shared" si="1"/>
        <v/>
      </c>
    </row>
    <row r="33" spans="4:4" x14ac:dyDescent="0.25">
      <c r="D33" t="str">
        <f t="shared" si="1"/>
        <v/>
      </c>
    </row>
    <row r="34" spans="4:4" x14ac:dyDescent="0.25">
      <c r="D34" t="str">
        <f t="shared" si="1"/>
        <v/>
      </c>
    </row>
    <row r="35" spans="4:4" x14ac:dyDescent="0.25">
      <c r="D35" t="str">
        <f t="shared" si="1"/>
        <v/>
      </c>
    </row>
    <row r="36" spans="4:4" x14ac:dyDescent="0.25">
      <c r="D36" t="str">
        <f t="shared" si="1"/>
        <v/>
      </c>
    </row>
    <row r="37" spans="4:4" x14ac:dyDescent="0.25">
      <c r="D37" t="str">
        <f t="shared" si="1"/>
        <v/>
      </c>
    </row>
    <row r="38" spans="4:4" x14ac:dyDescent="0.25">
      <c r="D38" t="str">
        <f t="shared" si="1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teAllTemplates">
                <anchor moveWithCells="1" sizeWithCells="1">
                  <from>
                    <xdr:col>6</xdr:col>
                    <xdr:colOff>438150</xdr:colOff>
                    <xdr:row>7</xdr:row>
                    <xdr:rowOff>38100</xdr:rowOff>
                  </from>
                  <to>
                    <xdr:col>9</xdr:col>
                    <xdr:colOff>123825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TemplateFromSheet">
                <anchor moveWithCells="1" sizeWithCells="1">
                  <from>
                    <xdr:col>6</xdr:col>
                    <xdr:colOff>485775</xdr:colOff>
                    <xdr:row>1</xdr:row>
                    <xdr:rowOff>0</xdr:rowOff>
                  </from>
                  <to>
                    <xdr:col>9</xdr:col>
                    <xdr:colOff>161925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GoTo_Items">
                <anchor moveWithCells="1" sizeWithCells="1">
                  <from>
                    <xdr:col>6</xdr:col>
                    <xdr:colOff>590550</xdr:colOff>
                    <xdr:row>10</xdr:row>
                    <xdr:rowOff>142875</xdr:rowOff>
                  </from>
                  <to>
                    <xdr:col>9</xdr:col>
                    <xdr:colOff>409575</xdr:colOff>
                    <xdr:row>15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3AD48-1DAF-48EE-8D7C-BC1F1BE9AA44}">
  <sheetPr codeName="Sheet7"/>
  <dimension ref="A1:Z38"/>
  <sheetViews>
    <sheetView showGridLines="0" zoomScaleNormal="100" workbookViewId="0">
      <selection activeCell="M17" sqref="M17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B1" t="s">
        <v>45</v>
      </c>
      <c r="C1" t="s">
        <v>53</v>
      </c>
    </row>
    <row r="2" spans="1:26" x14ac:dyDescent="0.25">
      <c r="B2" t="s">
        <v>46</v>
      </c>
      <c r="C2" t="str">
        <f>IFERROR(_xlfn.XLOOKUP(C1,CFG_TEMPLATES!A:A,CFG_TEMPLATES!C:C),"")</f>
        <v>BBGN_PXK.docx</v>
      </c>
    </row>
    <row r="3" spans="1:26" x14ac:dyDescent="0.25">
      <c r="B3" t="s">
        <v>42</v>
      </c>
      <c r="C3" t="str">
        <f>IFERROR(_xlfn.XLOOKUP(C1,CFG_TEMPLATES!A:A,CFG_TEMPLATES!E:E),"")</f>
        <v>Biên bản giao nhận kiêm PXK</v>
      </c>
    </row>
    <row r="4" spans="1:26" x14ac:dyDescent="0.25">
      <c r="A4" t="s">
        <v>0</v>
      </c>
      <c r="B4" t="s">
        <v>1</v>
      </c>
      <c r="C4" s="1">
        <v>45658</v>
      </c>
      <c r="D4" s="1">
        <f>IF(ISBLANK(C4),"",C4)</f>
        <v>45658</v>
      </c>
      <c r="Z4" t="s">
        <v>37</v>
      </c>
    </row>
    <row r="5" spans="1:26" hidden="1" x14ac:dyDescent="0.25">
      <c r="A5" t="s">
        <v>2</v>
      </c>
      <c r="C5" s="2" t="str">
        <f>TEXT(DAY(C4),"00")</f>
        <v>01</v>
      </c>
      <c r="D5" s="2" t="str">
        <f>IF(ISBLANK(C5),"",C5)</f>
        <v>01</v>
      </c>
    </row>
    <row r="6" spans="1:26" hidden="1" x14ac:dyDescent="0.25">
      <c r="A6" t="s">
        <v>3</v>
      </c>
      <c r="C6" s="2" t="str">
        <f>TEXT(MONTH(C4),"00")</f>
        <v>01</v>
      </c>
      <c r="D6" s="2" t="str">
        <f>IF(ISBLANK(C6),"",C6)</f>
        <v>01</v>
      </c>
    </row>
    <row r="7" spans="1:26" hidden="1" x14ac:dyDescent="0.25">
      <c r="A7" t="s">
        <v>4</v>
      </c>
      <c r="C7">
        <f>YEAR(C4)</f>
        <v>2025</v>
      </c>
      <c r="D7">
        <f>IF(ISBLANK(C7),"",C7)</f>
        <v>2025</v>
      </c>
    </row>
    <row r="8" spans="1:26" x14ac:dyDescent="0.25">
      <c r="A8" t="s">
        <v>5</v>
      </c>
      <c r="B8" t="s">
        <v>6</v>
      </c>
      <c r="C8" s="4">
        <v>4</v>
      </c>
      <c r="D8" s="10" t="str">
        <f>IF(ISBLANK(C8),"",TEXT(C8,"00"))</f>
        <v>04</v>
      </c>
    </row>
    <row r="9" spans="1:26" x14ac:dyDescent="0.25">
      <c r="A9" t="s">
        <v>7</v>
      </c>
      <c r="B9" t="s">
        <v>8</v>
      </c>
      <c r="C9" t="s">
        <v>59</v>
      </c>
      <c r="D9" t="str">
        <f>IF(ISBLANK(C9),"",C9)</f>
        <v>Công ty TNHH thương mại và sản xuất Tân Hòa Phát</v>
      </c>
    </row>
    <row r="10" spans="1:26" x14ac:dyDescent="0.25">
      <c r="A10" t="s">
        <v>9</v>
      </c>
      <c r="B10" t="s">
        <v>10</v>
      </c>
      <c r="C10" t="str" cm="1">
        <f t="array" ref="C10">_xlfn.TEXTJOIN("", TRUE, LEFT(_xlfn.TEXTSPLIT(C9," "), 1))</f>
        <v>CtTtmvsxTHP</v>
      </c>
      <c r="D10" t="s">
        <v>60</v>
      </c>
    </row>
    <row r="11" spans="1:26" x14ac:dyDescent="0.25">
      <c r="A11" t="s">
        <v>11</v>
      </c>
      <c r="B11" t="s">
        <v>12</v>
      </c>
      <c r="C11" s="1">
        <v>46016</v>
      </c>
      <c r="D11" s="1">
        <f t="shared" ref="D11:D20" si="0">IF(ISBLANK(C11),"",C11)</f>
        <v>46016</v>
      </c>
    </row>
    <row r="12" spans="1:26" hidden="1" x14ac:dyDescent="0.25">
      <c r="A12" t="s">
        <v>13</v>
      </c>
      <c r="C12" s="2" t="str">
        <f>TEXT(DAY(C11),"00")</f>
        <v>25</v>
      </c>
      <c r="D12" s="2" t="str">
        <f t="shared" si="0"/>
        <v>25</v>
      </c>
    </row>
    <row r="13" spans="1:26" hidden="1" x14ac:dyDescent="0.25">
      <c r="A13" t="s">
        <v>14</v>
      </c>
      <c r="C13" s="2" t="str">
        <f>TEXT(MONTH(C11),"00")</f>
        <v>12</v>
      </c>
      <c r="D13" s="2" t="str">
        <f t="shared" si="0"/>
        <v>12</v>
      </c>
    </row>
    <row r="14" spans="1:26" hidden="1" x14ac:dyDescent="0.25">
      <c r="A14" t="s">
        <v>15</v>
      </c>
      <c r="C14">
        <f>YEAR(C11)</f>
        <v>2025</v>
      </c>
      <c r="D14">
        <f t="shared" si="0"/>
        <v>2025</v>
      </c>
    </row>
    <row r="15" spans="1:26" x14ac:dyDescent="0.25">
      <c r="A15" t="s">
        <v>16</v>
      </c>
      <c r="B15" t="s">
        <v>17</v>
      </c>
      <c r="C15" s="3" t="s">
        <v>61</v>
      </c>
      <c r="D15" s="2" t="str">
        <f t="shared" si="0"/>
        <v>2301351830</v>
      </c>
    </row>
    <row r="16" spans="1:26" ht="45" x14ac:dyDescent="0.25">
      <c r="A16" t="s">
        <v>18</v>
      </c>
      <c r="B16" t="s">
        <v>19</v>
      </c>
      <c r="C16" s="13" t="s">
        <v>62</v>
      </c>
      <c r="D16" t="str">
        <f t="shared" si="0"/>
        <v>Khu phố Xuân Hoà, Phường Nhân Hòa, Tỉnh Bắc Ninh</v>
      </c>
    </row>
    <row r="17" spans="1:4" x14ac:dyDescent="0.25">
      <c r="A17" t="s">
        <v>20</v>
      </c>
      <c r="B17" t="s">
        <v>21</v>
      </c>
      <c r="C17" s="11"/>
      <c r="D17" t="str">
        <f t="shared" si="0"/>
        <v/>
      </c>
    </row>
    <row r="18" spans="1:4" x14ac:dyDescent="0.25">
      <c r="A18" t="s">
        <v>22</v>
      </c>
      <c r="B18" t="s">
        <v>23</v>
      </c>
      <c r="C18" t="s">
        <v>24</v>
      </c>
      <c r="D18" t="str">
        <f t="shared" si="0"/>
        <v>Ông</v>
      </c>
    </row>
    <row r="19" spans="1:4" x14ac:dyDescent="0.25">
      <c r="A19" t="s">
        <v>25</v>
      </c>
      <c r="B19" t="s">
        <v>26</v>
      </c>
      <c r="C19" t="s">
        <v>63</v>
      </c>
      <c r="D19" t="str">
        <f t="shared" si="0"/>
        <v>Nguyễn Văn Trọng</v>
      </c>
    </row>
    <row r="20" spans="1:4" x14ac:dyDescent="0.25">
      <c r="A20" t="s">
        <v>47</v>
      </c>
      <c r="B20" t="s">
        <v>49</v>
      </c>
      <c r="C20" t="s">
        <v>48</v>
      </c>
      <c r="D20" t="str">
        <f t="shared" si="0"/>
        <v>0.08</v>
      </c>
    </row>
    <row r="21" spans="1:4" x14ac:dyDescent="0.25">
      <c r="D21" t="str">
        <f t="shared" ref="D21:D38" si="1">IF(ISBLANK(C21),"",C21)</f>
        <v/>
      </c>
    </row>
    <row r="22" spans="1:4" x14ac:dyDescent="0.25">
      <c r="D22" t="str">
        <f t="shared" si="1"/>
        <v/>
      </c>
    </row>
    <row r="23" spans="1:4" x14ac:dyDescent="0.25">
      <c r="D23" t="str">
        <f t="shared" si="1"/>
        <v/>
      </c>
    </row>
    <row r="24" spans="1:4" x14ac:dyDescent="0.25">
      <c r="D24" t="str">
        <f t="shared" si="1"/>
        <v/>
      </c>
    </row>
    <row r="25" spans="1:4" x14ac:dyDescent="0.25">
      <c r="D25" t="str">
        <f t="shared" si="1"/>
        <v/>
      </c>
    </row>
    <row r="26" spans="1:4" x14ac:dyDescent="0.25">
      <c r="D26" t="str">
        <f t="shared" si="1"/>
        <v/>
      </c>
    </row>
    <row r="27" spans="1:4" x14ac:dyDescent="0.25">
      <c r="D27" t="str">
        <f t="shared" si="1"/>
        <v/>
      </c>
    </row>
    <row r="28" spans="1:4" x14ac:dyDescent="0.25">
      <c r="D28" t="str">
        <f t="shared" si="1"/>
        <v/>
      </c>
    </row>
    <row r="29" spans="1:4" x14ac:dyDescent="0.25">
      <c r="D29" t="str">
        <f t="shared" si="1"/>
        <v/>
      </c>
    </row>
    <row r="30" spans="1:4" x14ac:dyDescent="0.25">
      <c r="D30" t="str">
        <f t="shared" si="1"/>
        <v/>
      </c>
    </row>
    <row r="31" spans="1:4" x14ac:dyDescent="0.25">
      <c r="D31" t="str">
        <f t="shared" si="1"/>
        <v/>
      </c>
    </row>
    <row r="32" spans="1:4" x14ac:dyDescent="0.25">
      <c r="D32" t="str">
        <f t="shared" si="1"/>
        <v/>
      </c>
    </row>
    <row r="33" spans="4:4" x14ac:dyDescent="0.25">
      <c r="D33" t="str">
        <f t="shared" si="1"/>
        <v/>
      </c>
    </row>
    <row r="34" spans="4:4" x14ac:dyDescent="0.25">
      <c r="D34" t="str">
        <f t="shared" si="1"/>
        <v/>
      </c>
    </row>
    <row r="35" spans="4:4" x14ac:dyDescent="0.25">
      <c r="D35" t="str">
        <f t="shared" si="1"/>
        <v/>
      </c>
    </row>
    <row r="36" spans="4:4" x14ac:dyDescent="0.25">
      <c r="D36" t="str">
        <f t="shared" si="1"/>
        <v/>
      </c>
    </row>
    <row r="37" spans="4:4" x14ac:dyDescent="0.25">
      <c r="D37" t="str">
        <f t="shared" si="1"/>
        <v/>
      </c>
    </row>
    <row r="38" spans="4:4" x14ac:dyDescent="0.25">
      <c r="D38" t="str">
        <f t="shared" si="1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TemplateFromSheet">
                <anchor moveWithCells="1" sizeWithCells="1">
                  <from>
                    <xdr:col>6</xdr:col>
                    <xdr:colOff>19050</xdr:colOff>
                    <xdr:row>2</xdr:row>
                    <xdr:rowOff>161925</xdr:rowOff>
                  </from>
                  <to>
                    <xdr:col>8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6"/>
  <sheetViews>
    <sheetView workbookViewId="0">
      <selection activeCell="H2" sqref="H2"/>
    </sheetView>
  </sheetViews>
  <sheetFormatPr defaultRowHeight="15" x14ac:dyDescent="0.25"/>
  <cols>
    <col min="1" max="1" width="25.85546875" customWidth="1"/>
    <col min="2" max="2" width="15.28515625" bestFit="1" customWidth="1"/>
    <col min="3" max="3" width="9.28515625" bestFit="1" customWidth="1"/>
    <col min="4" max="4" width="9.28515625" style="5" bestFit="1" customWidth="1"/>
    <col min="5" max="5" width="13.85546875" style="6" bestFit="1" customWidth="1"/>
  </cols>
  <sheetData>
    <row r="1" spans="1:5" x14ac:dyDescent="0.25">
      <c r="A1" s="7" t="s">
        <v>27</v>
      </c>
      <c r="B1" s="7" t="s">
        <v>28</v>
      </c>
      <c r="C1" s="7" t="s">
        <v>29</v>
      </c>
      <c r="D1" s="7" t="s">
        <v>30</v>
      </c>
      <c r="E1" s="7" t="s">
        <v>31</v>
      </c>
    </row>
    <row r="2" spans="1:5" x14ac:dyDescent="0.25">
      <c r="A2" t="s">
        <v>84</v>
      </c>
      <c r="B2" t="s">
        <v>75</v>
      </c>
      <c r="C2" s="8">
        <v>1940</v>
      </c>
      <c r="D2" s="9">
        <v>13000</v>
      </c>
      <c r="E2" s="9">
        <f>C2*D2</f>
        <v>25220000</v>
      </c>
    </row>
    <row r="3" spans="1:5" x14ac:dyDescent="0.25">
      <c r="C3" s="8"/>
      <c r="D3" s="9"/>
      <c r="E3" s="9"/>
    </row>
    <row r="4" spans="1:5" x14ac:dyDescent="0.25">
      <c r="C4" s="8"/>
      <c r="D4" s="9"/>
      <c r="E4" s="9"/>
    </row>
    <row r="5" spans="1:5" x14ac:dyDescent="0.25">
      <c r="C5" s="8"/>
      <c r="D5" s="9"/>
      <c r="E5" s="9"/>
    </row>
    <row r="6" spans="1:5" x14ac:dyDescent="0.25">
      <c r="C6" s="8"/>
      <c r="D6" s="9"/>
      <c r="E6" s="9"/>
    </row>
    <row r="7" spans="1:5" x14ac:dyDescent="0.25">
      <c r="C7" s="8"/>
      <c r="D7" s="9"/>
      <c r="E7" s="9"/>
    </row>
    <row r="8" spans="1:5" x14ac:dyDescent="0.25">
      <c r="C8" s="8"/>
      <c r="D8" s="9"/>
      <c r="E8" s="9"/>
    </row>
    <row r="9" spans="1:5" x14ac:dyDescent="0.25">
      <c r="C9" s="8"/>
      <c r="D9" s="9"/>
      <c r="E9" s="9"/>
    </row>
    <row r="10" spans="1:5" x14ac:dyDescent="0.25">
      <c r="C10" s="8"/>
      <c r="D10" s="9"/>
      <c r="E10" s="9"/>
    </row>
    <row r="11" spans="1:5" x14ac:dyDescent="0.25">
      <c r="C11" s="8"/>
      <c r="D11" s="9"/>
      <c r="E11" s="9"/>
    </row>
    <row r="12" spans="1:5" x14ac:dyDescent="0.25">
      <c r="C12" s="8"/>
      <c r="D12" s="9"/>
      <c r="E12" s="9"/>
    </row>
    <row r="13" spans="1:5" x14ac:dyDescent="0.25">
      <c r="C13" s="8"/>
      <c r="D13" s="9"/>
      <c r="E13" s="9"/>
    </row>
    <row r="14" spans="1:5" x14ac:dyDescent="0.25">
      <c r="C14" s="8"/>
      <c r="D14" s="9"/>
      <c r="E14" s="9"/>
    </row>
    <row r="15" spans="1:5" x14ac:dyDescent="0.25">
      <c r="C15" s="8"/>
      <c r="D15" s="9"/>
      <c r="E15" s="9"/>
    </row>
    <row r="16" spans="1:5" x14ac:dyDescent="0.25">
      <c r="C16" s="8"/>
      <c r="D16" s="9"/>
      <c r="E16" s="9"/>
    </row>
    <row r="17" spans="3:5" x14ac:dyDescent="0.25">
      <c r="C17" s="8"/>
      <c r="D17" s="9"/>
      <c r="E17" s="9"/>
    </row>
    <row r="18" spans="3:5" x14ac:dyDescent="0.25">
      <c r="C18" s="8"/>
      <c r="D18" s="9"/>
      <c r="E18" s="9"/>
    </row>
    <row r="19" spans="3:5" x14ac:dyDescent="0.25">
      <c r="C19" s="8"/>
      <c r="D19" s="9"/>
      <c r="E19" s="9"/>
    </row>
    <row r="20" spans="3:5" x14ac:dyDescent="0.25">
      <c r="C20" s="8"/>
      <c r="D20" s="9"/>
      <c r="E20" s="9"/>
    </row>
    <row r="21" spans="3:5" x14ac:dyDescent="0.25">
      <c r="C21" s="8"/>
      <c r="D21" s="9"/>
      <c r="E21" s="9"/>
    </row>
    <row r="22" spans="3:5" x14ac:dyDescent="0.25">
      <c r="C22" s="8"/>
      <c r="D22" s="9"/>
      <c r="E22" s="9"/>
    </row>
    <row r="23" spans="3:5" x14ac:dyDescent="0.25">
      <c r="C23" s="8"/>
      <c r="D23" s="9"/>
      <c r="E23" s="9"/>
    </row>
    <row r="24" spans="3:5" x14ac:dyDescent="0.25">
      <c r="C24" s="8"/>
      <c r="D24" s="9"/>
      <c r="E24" s="9"/>
    </row>
    <row r="25" spans="3:5" x14ac:dyDescent="0.25">
      <c r="C25" s="8"/>
      <c r="D25" s="9"/>
      <c r="E25" s="9"/>
    </row>
    <row r="26" spans="3:5" x14ac:dyDescent="0.25">
      <c r="C26" s="8"/>
      <c r="D26" s="9"/>
      <c r="E26" s="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ackTo_DashBoard">
                <anchor moveWithCells="1" sizeWithCells="1">
                  <from>
                    <xdr:col>5</xdr:col>
                    <xdr:colOff>590550</xdr:colOff>
                    <xdr:row>1</xdr:row>
                    <xdr:rowOff>66675</xdr:rowOff>
                  </from>
                  <to>
                    <xdr:col>8</xdr:col>
                    <xdr:colOff>219075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UI_DASHBOARD</vt:lpstr>
      <vt:lpstr>Main</vt:lpstr>
      <vt:lpstr>CFG_TEMPLATES</vt:lpstr>
      <vt:lpstr>TPL_HDCT</vt:lpstr>
      <vt:lpstr>TPL_BBGN_PXK</vt:lpstr>
      <vt:lpstr>Items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2026-03-13T08:00:06Z</dcterms:modified>
</cp:coreProperties>
</file>