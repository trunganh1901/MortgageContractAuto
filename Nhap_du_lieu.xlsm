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Contract Automation\"/>
    </mc:Choice>
  </mc:AlternateContent>
  <xr:revisionPtr revIDLastSave="0" documentId="13_ncr:1_{12BA0F32-ADC2-40F4-9B47-2AF0A70089C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UI_DASHBOARD" sheetId="5" r:id="rId1"/>
    <sheet name="Main" sheetId="1" state="hidden" r:id="rId2"/>
    <sheet name="CFG_TEMPLATES" sheetId="3" r:id="rId3"/>
    <sheet name="TPL_HDCT" sheetId="4" r:id="rId4"/>
    <sheet name="TPL_BBGN_PXK" sheetId="7" state="hidden" r:id="rId5"/>
    <sheet name="Items" sheetId="2" r:id="rId6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D7" i="3"/>
  <c r="D3" i="3"/>
  <c r="D4" i="3"/>
  <c r="D5" i="3"/>
  <c r="D6" i="3"/>
  <c r="D2" i="3"/>
  <c r="E2" i="2" l="1"/>
  <c r="D24" i="7"/>
  <c r="D15" i="7"/>
  <c r="D15" i="4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20" i="4" l="1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19" i="4"/>
  <c r="D18" i="4"/>
  <c r="D17" i="4"/>
  <c r="D16" i="4"/>
  <c r="C14" i="4"/>
  <c r="D14" i="4" s="1"/>
  <c r="C13" i="4"/>
  <c r="D13" i="4" s="1"/>
  <c r="C12" i="4"/>
  <c r="D12" i="4" s="1"/>
  <c r="D11" i="4"/>
  <c r="C10" i="4" a="1"/>
  <c r="C10" i="4" s="1"/>
  <c r="D9" i="4"/>
  <c r="D8" i="4"/>
  <c r="C7" i="4"/>
  <c r="D7" i="4" s="1"/>
  <c r="C6" i="4"/>
  <c r="D6" i="4" s="1"/>
  <c r="C5" i="4"/>
  <c r="D5" i="4" s="1"/>
  <c r="D4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<sst xmlns="http://schemas.openxmlformats.org/spreadsheetml/2006/main" count="161" uniqueCount="92">
  <si>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</si>
  <si>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</si>
  <si>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</si>
  <si>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</si>
  <si>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</si>
  <si>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</si>
  <si>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</si>
  <si>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</si>
  <si>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</si>
  <si>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</si>
  <si>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</si>
  <si>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</si>
  <si>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</si>
  <si>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</si>
  <si>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</si>
  <si>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</si>
  <si>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</si>
  <si>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</si>
  <si>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</si>
  <si>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</si>
  <si>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</si>
  <si>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</si>
  <si>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</si>
  <si>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</si>
  <si>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</si>
  <si>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</si>
  <si>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</si>
  <si>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ten_hang</t>
  </si>
  <si>
    <t>dvt</t>
  </si>
  <si>
    <t>so_luong</t>
  </si>
  <si>
    <t>don_gia</t>
  </si>
  <si>
    <t>thanh_tien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</si>
  <si>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</si>
  <si>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</si>
  <si>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</si>
  <si>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</si>
  <si>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</si>
  <si>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</si>
  <si>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</si>
  <si>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TemplateCode</t>
  </si>
  <si>
    <t>ExcelSheet</t>
  </si>
  <si>
    <t>DocxFile</t>
  </si>
  <si>
    <t>Description</t>
  </si>
  <si>
    <t>HDCT.docx</t>
  </si>
  <si>
    <t>BBGN_PXK.docx</t>
  </si>
  <si>
    <t>Template Code</t>
  </si>
  <si>
    <t>Word Template</t>
  </si>
  <si>
    <t>VAT_RATE</t>
  </si>
  <si>
    <t>0.08</t>
  </si>
  <si>
    <t>Thuế suất VAT</t>
  </si>
  <si>
    <t>Hợp đồng cụ thể</t>
  </si>
  <si>
    <t>FilePrefix</t>
  </si>
  <si>
    <t>RequiresItems</t>
  </si>
  <si>
    <t>BBGN_PXK</t>
  </si>
  <si>
    <t>TPL_BBGN_PXK</t>
  </si>
  <si>
    <t>Biên bản giao nhận kiêm 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</si>
  <si>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</si>
  <si>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</si>
  <si>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</si>
  <si>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</si>
  <si>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</si>
  <si>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</si>
  <si>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</si>
  <si>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</si>
  <si>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SO_HOA_DON</t>
  </si>
  <si>
    <t>Số Hóa đơn</t>
  </si>
  <si>
    <t>Enabled</t>
  </si>
  <si>
    <t>DonDatHang</t>
  </si>
  <si>
    <t>TPL_DonDatHang</t>
  </si>
  <si>
    <t>DonDatHang.docx</t>
  </si>
  <si>
    <t>Đơn đặt hàng</t>
  </si>
  <si>
    <t>PhieuThuTT200</t>
  </si>
  <si>
    <t>TPL_PhieuThuTT200</t>
  </si>
  <si>
    <t>PhieuThuTT200.docx</t>
  </si>
  <si>
    <t>Phiếu thu Thông tư 200</t>
  </si>
  <si>
    <t>m</t>
  </si>
  <si>
    <t>TPL_HD_RIENGLE</t>
  </si>
  <si>
    <t>HD_RIENGLE.docx</t>
  </si>
  <si>
    <t>HD_RIENGLE</t>
  </si>
  <si>
    <t>Hợp đồng riêng lẻ</t>
  </si>
  <si>
    <t>BaoGia</t>
  </si>
  <si>
    <t>TPL_BaoGia</t>
  </si>
  <si>
    <t>BaoGia.docx</t>
  </si>
  <si>
    <t>Báo giá</t>
  </si>
  <si>
    <t>Vải polyester các màu</t>
  </si>
  <si>
    <t>Tạ Đức Toàn</t>
  </si>
  <si>
    <t>Công ty Cổ phần Giải pháp Kết cấu ZT</t>
  </si>
  <si>
    <t>ZT</t>
  </si>
  <si>
    <t>0111027423</t>
  </si>
  <si>
    <t>Tầng 2, Số 65, Tổ 6, Xã Đông Anh, TP Hà Nội, Việt Nam</t>
  </si>
  <si>
    <t>D:\Desktop\Contract Automation\Output\Cong_ty_Co_phan_Giai_phap_Ket_cau_ZT</t>
  </si>
  <si>
    <t>Vải thành phẩm VPD3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</si>
</sst>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0" borderId="1" xfId="0" applyFont="1" applyBorder="1" applyAlignment="1">
      <alignment horizontal="center" vertical="top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19050</xdr:rowOff>
        </xdr:from>
        <xdr:to>
          <xdr:col>5</xdr:col>
          <xdr:colOff>419100</xdr:colOff>
          <xdr:row>3</xdr:row>
          <xdr:rowOff>9525</xdr:rowOff>
        </xdr:to>
        <xdr:sp macro="" textlink="">
          <xdr:nvSpPr>
            <xdr:cNvPr id="2050" name="BTN_HD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7</xdr:row>
          <xdr:rowOff>38100</xdr:rowOff>
        </xdr:from>
        <xdr:to>
          <xdr:col>9</xdr:col>
          <xdr:colOff>123825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0</xdr:rowOff>
        </xdr:from>
        <xdr:to>
          <xdr:col>9</xdr:col>
          <xdr:colOff>161925</xdr:colOff>
          <xdr:row>2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this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10</xdr:row>
          <xdr:rowOff>142875</xdr:rowOff>
        </xdr:from>
        <xdr:to>
          <xdr:col>9</xdr:col>
          <xdr:colOff>409575</xdr:colOff>
          <xdr:row>15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Bảng hàng hóa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66675</xdr:rowOff>
        </xdr:from>
        <xdr:to>
          <xdr:col>8</xdr:col>
          <xdr:colOff>219075</xdr:colOff>
          <xdr:row>3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BackTo_DashBoard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workbookViewId="0">
      <selection activeCell="H18" sqref="H18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58</v>
      </c>
    </row>
    <row r="2" spans="1:3" x14ac:dyDescent="0.25">
      <c r="B2" t="s">
        <v>37</v>
      </c>
      <c r="C2" t="str">
        <f>IFERROR(_xlfn.XLOOKUP(B2,CFG_TEMPLATES!A:A,CFG_TEMPLATES!E:E),)</f>
        <v>Hợp đồng cụ thể</v>
      </c>
    </row>
    <row r="4" spans="1:3" x14ac:dyDescent="0.25">
      <c r="C4" t="str">
        <f>IFERROR(_xlfn.XLOOKUP(B2,CFG_TEMPLATES!A:A,CFG_TEMPLATES!B:B),"")</f>
        <v>TPL_HDCT</v>
      </c>
    </row>
    <row r="7" spans="1:3" x14ac:dyDescent="0.25">
      <c r="A7" t="s">
        <v>57</v>
      </c>
      <c r="B7" t="s">
        <v>90</v>
      </c>
    </row>
    <row r="8" spans="1:3" x14ac:dyDescent="0.25">
      <c r="A8" t="s">
        <v>56</v>
      </c>
      <c r="B8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_HDCT">
              <controlPr defaultSize="0" print="0" autoFill="0" autoPict="0" macro="[0]!GoToSheet_FromC4">
                <anchor moveWithCells="1" sizeWithCells="1">
                  <from>
                    <xdr:col>3</xdr:col>
                    <xdr:colOff>485775</xdr:colOff>
                    <xdr:row>1</xdr:row>
                    <xdr:rowOff>19050</xdr:rowOff>
                  </from>
                  <to>
                    <xdr:col>5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CFG_TEMPLATES!$A$2:$A$99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37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10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32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33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34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35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11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36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327C-702A-4298-9003-D01CBA2B320E}">
  <sheetPr codeName="Sheet3"/>
  <dimension ref="A1:G7"/>
  <sheetViews>
    <sheetView showGridLines="0" tabSelected="1" zoomScaleNormal="100" workbookViewId="0">
      <selection activeCell="H7" sqref="H7"/>
    </sheetView>
  </sheetViews>
  <sheetFormatPr defaultRowHeight="15" x14ac:dyDescent="0.25"/>
  <cols>
    <col min="1" max="1" width="16.7109375" customWidth="1"/>
    <col min="2" max="2" width="15" customWidth="1"/>
    <col min="3" max="3" width="17.5703125" customWidth="1"/>
    <col min="4" max="4" width="18" customWidth="1"/>
    <col min="5" max="5" width="24.85546875" customWidth="1"/>
    <col min="6" max="6" width="14" bestFit="1" customWidth="1"/>
  </cols>
  <sheetData>
    <row r="1" spans="1:7" x14ac:dyDescent="0.25">
      <c r="A1" s="12" t="s">
        <v>39</v>
      </c>
      <c r="B1" s="12" t="s">
        <v>40</v>
      </c>
      <c r="C1" s="12" t="s">
        <v>41</v>
      </c>
      <c r="D1" s="12" t="s">
        <v>51</v>
      </c>
      <c r="E1" s="12" t="s">
        <v>42</v>
      </c>
      <c r="F1" s="12" t="s">
        <v>52</v>
      </c>
      <c r="G1" s="12" t="s">
        <v>66</v>
      </c>
    </row>
    <row r="2" spans="1:7" x14ac:dyDescent="0.25">
      <c r="A2" t="s">
        <v>37</v>
      </c>
      <c r="B2" t="s">
        <v>38</v>
      </c>
      <c r="C2" t="s">
        <v>43</v>
      </c>
      <c r="D2" t="str">
        <f>A2</f>
        <v>HDCT</v>
      </c>
      <c r="E2" t="s">
        <v>50</v>
      </c>
      <c r="F2" t="b">
        <v>1</v>
      </c>
      <c r="G2" t="b">
        <v>1</v>
      </c>
    </row>
    <row r="3" spans="1:7" x14ac:dyDescent="0.25">
      <c r="A3" t="s">
        <v>53</v>
      </c>
      <c r="B3" t="s">
        <v>54</v>
      </c>
      <c r="C3" t="s">
        <v>44</v>
      </c>
      <c r="D3" t="str">
        <f t="shared" ref="D3:D7" si="0">A3</f>
        <v>BBGN_PXK</v>
      </c>
      <c r="E3" t="s">
        <v>55</v>
      </c>
      <c r="F3" t="b">
        <v>1</v>
      </c>
      <c r="G3" t="b">
        <v>0</v>
      </c>
    </row>
    <row r="4" spans="1:7" x14ac:dyDescent="0.25">
      <c r="A4" t="s">
        <v>67</v>
      </c>
      <c r="B4" t="s">
        <v>68</v>
      </c>
      <c r="C4" t="s">
        <v>69</v>
      </c>
      <c r="D4" t="str">
        <f t="shared" si="0"/>
        <v>DonDatHang</v>
      </c>
      <c r="E4" t="s">
        <v>70</v>
      </c>
      <c r="F4" t="b">
        <v>1</v>
      </c>
      <c r="G4" t="b">
        <v>0</v>
      </c>
    </row>
    <row r="5" spans="1:7" x14ac:dyDescent="0.25">
      <c r="A5" t="s">
        <v>71</v>
      </c>
      <c r="B5" t="s">
        <v>72</v>
      </c>
      <c r="C5" t="s">
        <v>73</v>
      </c>
      <c r="D5" t="str">
        <f t="shared" si="0"/>
        <v>PhieuThuTT200</v>
      </c>
      <c r="E5" t="s">
        <v>74</v>
      </c>
      <c r="F5" t="b">
        <v>0</v>
      </c>
      <c r="G5" t="b">
        <v>0</v>
      </c>
    </row>
    <row r="6" spans="1:7" x14ac:dyDescent="0.25">
      <c r="A6" t="s">
        <v>78</v>
      </c>
      <c r="B6" t="s">
        <v>76</v>
      </c>
      <c r="C6" t="s">
        <v>77</v>
      </c>
      <c r="D6" t="str">
        <f t="shared" si="0"/>
        <v>HD_RIENGLE</v>
      </c>
      <c r="E6" t="s">
        <v>79</v>
      </c>
      <c r="F6" t="b">
        <v>1</v>
      </c>
      <c r="G6" t="b">
        <v>0</v>
      </c>
    </row>
    <row r="7" spans="1:7" x14ac:dyDescent="0.25">
      <c r="A7" t="s">
        <v>80</v>
      </c>
      <c r="B7" t="s">
        <v>81</v>
      </c>
      <c r="C7" t="s">
        <v>82</v>
      </c>
      <c r="D7" t="str">
        <f t="shared" si="0"/>
        <v>BaoGia</v>
      </c>
      <c r="E7" t="s">
        <v>83</v>
      </c>
      <c r="F7" t="b">
        <v>1</v>
      </c>
      <c r="G7" t="b">
        <v>1</v>
      </c>
    </row>
  </sheetData>
  <dataValidations count="1">
    <dataValidation type="list" allowBlank="1" showInputMessage="1" showErrorMessage="1" errorTitle="Invalid" error="TRUE/FALSE ONLY" sqref="F2:G30" xr:uid="{8A7408E0-4D50-42C3-B06C-35990B67044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38"/>
  <sheetViews>
    <sheetView showGridLines="0" zoomScaleNormal="100" workbookViewId="0">
      <selection activeCell="J19" sqref="J19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37</v>
      </c>
    </row>
    <row r="2" spans="1:26" x14ac:dyDescent="0.25">
      <c r="B2" t="s">
        <v>46</v>
      </c>
      <c r="C2" t="str">
        <f>IFERROR(_xlfn.XLOOKUP(C1,CFG_TEMPLATES!A:A,CFG_TEMPLATES!C:C),"")</f>
        <v>HDCT.docx</v>
      </c>
    </row>
    <row r="3" spans="1:26" x14ac:dyDescent="0.25">
      <c r="B3" t="s">
        <v>42</v>
      </c>
      <c r="C3" t="str">
        <f>IFERROR(_xlfn.XLOOKUP(C1,CFG_TEMPLATES!A:A,CFG_TEMPLATES!E:E),"")</f>
        <v>Hợp đồng cụ thể</v>
      </c>
    </row>
    <row r="4" spans="1:26" x14ac:dyDescent="0.25">
      <c r="A4" t="s">
        <v>0</v>
      </c>
      <c r="B4" t="s">
        <v>1</v>
      </c>
      <c r="C4" s="1">
        <v>45731</v>
      </c>
      <c r="D4" s="1">
        <f>IF(ISBLANK(C4),"",C4)</f>
        <v>45731</v>
      </c>
      <c r="Z4" t="s">
        <v>37</v>
      </c>
    </row>
    <row r="5" spans="1:26" hidden="1" x14ac:dyDescent="0.25">
      <c r="A5" t="s">
        <v>2</v>
      </c>
      <c r="C5" s="2" t="str">
        <f>TEXT(DAY(C4),"00")</f>
        <v>15</v>
      </c>
      <c r="D5" s="2" t="str">
        <f>IF(ISBLANK(C5),"",C5)</f>
        <v>15</v>
      </c>
    </row>
    <row r="6" spans="1:26" hidden="1" x14ac:dyDescent="0.25">
      <c r="A6" t="s">
        <v>3</v>
      </c>
      <c r="C6" s="2" t="str">
        <f>TEXT(MONTH(C4),"00")</f>
        <v>03</v>
      </c>
      <c r="D6" s="2" t="str">
        <f>IF(ISBLANK(C6),"",C6)</f>
        <v>03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9</v>
      </c>
      <c r="D8" s="10" t="str">
        <f>IF(ISBLANK(C8),"",TEXT(C8,"00"))</f>
        <v>09</v>
      </c>
    </row>
    <row r="9" spans="1:26" x14ac:dyDescent="0.25">
      <c r="A9" t="s">
        <v>7</v>
      </c>
      <c r="B9" t="s">
        <v>8</v>
      </c>
      <c r="C9" t="s">
        <v>86</v>
      </c>
      <c r="D9" t="str">
        <f>IF(ISBLANK(C9),"",C9)</f>
        <v>Công ty Cổ phần Giải pháp Kết cấu ZT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CtCpGpKcZ</v>
      </c>
      <c r="D10" t="s">
        <v>87</v>
      </c>
    </row>
    <row r="11" spans="1:26" x14ac:dyDescent="0.25">
      <c r="A11" t="s">
        <v>11</v>
      </c>
      <c r="B11" t="s">
        <v>12</v>
      </c>
      <c r="C11" s="1">
        <v>46052</v>
      </c>
      <c r="D11" s="1">
        <f t="shared" ref="D11:D20" si="0">IF(ISBLANK(C11),"",C11)</f>
        <v>46052</v>
      </c>
    </row>
    <row r="12" spans="1:26" hidden="1" x14ac:dyDescent="0.25">
      <c r="A12" t="s">
        <v>13</v>
      </c>
      <c r="C12" s="2" t="str">
        <f>TEXT(DAY(C11),"00")</f>
        <v>30</v>
      </c>
      <c r="D12" s="2" t="str">
        <f t="shared" si="0"/>
        <v>30</v>
      </c>
    </row>
    <row r="13" spans="1:26" hidden="1" x14ac:dyDescent="0.25">
      <c r="A13" t="s">
        <v>14</v>
      </c>
      <c r="C13" s="2" t="str">
        <f>TEXT(MONTH(C11),"00")</f>
        <v>01</v>
      </c>
      <c r="D13" s="2" t="str">
        <f t="shared" si="0"/>
        <v>01</v>
      </c>
    </row>
    <row r="14" spans="1:26" hidden="1" x14ac:dyDescent="0.25">
      <c r="A14" t="s">
        <v>15</v>
      </c>
      <c r="C14">
        <f>YEAR(C11)</f>
        <v>2026</v>
      </c>
      <c r="D14">
        <f t="shared" si="0"/>
        <v>2026</v>
      </c>
    </row>
    <row r="15" spans="1:26" x14ac:dyDescent="0.25">
      <c r="A15" t="s">
        <v>16</v>
      </c>
      <c r="B15" t="s">
        <v>17</v>
      </c>
      <c r="C15" s="3" t="s">
        <v>88</v>
      </c>
      <c r="D15" s="3" t="str">
        <f t="shared" si="0"/>
        <v>0111027423</v>
      </c>
    </row>
    <row r="16" spans="1:26" ht="45" x14ac:dyDescent="0.25">
      <c r="A16" t="s">
        <v>18</v>
      </c>
      <c r="B16" t="s">
        <v>19</v>
      </c>
      <c r="C16" t="s">
        <v>89</v>
      </c>
      <c r="D16" s="14" t="str">
        <f t="shared" si="0"/>
        <v>Tầng 2, Số 65, Tổ 6, Xã Đông Anh, TP Hà Nội, Việt Nam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85</v>
      </c>
      <c r="D19" t="str">
        <f t="shared" si="0"/>
        <v>Tạ Đức Toàn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A21" t="s">
        <v>64</v>
      </c>
      <c r="B21" t="s">
        <v>65</v>
      </c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AllTemplates">
                <anchor moveWithCells="1" sizeWithCells="1">
                  <from>
                    <xdr:col>6</xdr:col>
                    <xdr:colOff>438150</xdr:colOff>
                    <xdr:row>7</xdr:row>
                    <xdr:rowOff>38100</xdr:rowOff>
                  </from>
                  <to>
                    <xdr:col>9</xdr:col>
                    <xdr:colOff>123825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TemplateFromSheet">
                <anchor moveWithCells="1" sizeWithCells="1">
                  <from>
                    <xdr:col>6</xdr:col>
                    <xdr:colOff>485775</xdr:colOff>
                    <xdr:row>1</xdr:row>
                    <xdr:rowOff>0</xdr:rowOff>
                  </from>
                  <to>
                    <xdr:col>9</xdr:col>
                    <xdr:colOff>161925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GoTo_Items">
                <anchor moveWithCells="1" sizeWithCells="1">
                  <from>
                    <xdr:col>6</xdr:col>
                    <xdr:colOff>590550</xdr:colOff>
                    <xdr:row>10</xdr:row>
                    <xdr:rowOff>142875</xdr:rowOff>
                  </from>
                  <to>
                    <xdr:col>9</xdr:col>
                    <xdr:colOff>409575</xdr:colOff>
                    <xdr:row>15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53</v>
      </c>
    </row>
    <row r="2" spans="1:26" x14ac:dyDescent="0.25">
      <c r="B2" t="s">
        <v>46</v>
      </c>
      <c r="C2" t="str">
        <f>IFERROR(_xlfn.XLOOKUP(C1,CFG_TEMPLATES!A:A,CFG_TEMPLATES!C:C),"")</f>
        <v>BBGN_PXK.docx</v>
      </c>
    </row>
    <row r="3" spans="1:26" x14ac:dyDescent="0.25">
      <c r="B3" t="s">
        <v>42</v>
      </c>
      <c r="C3" t="str">
        <f>IFERROR(_xlfn.XLOOKUP(C1,CFG_TEMPLATES!A:A,CFG_TEMPLATES!E:E),"")</f>
        <v>Biên bản giao nhận kiêm PXK</v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37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10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59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60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61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13" t="s">
        <v>62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63</v>
      </c>
      <c r="D19" t="str">
        <f t="shared" si="0"/>
        <v>Nguyễn Văn Trọng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6"/>
  <sheetViews>
    <sheetView workbookViewId="0">
      <selection activeCell="E3" sqref="E3"/>
    </sheetView>
  </sheetViews>
  <sheetFormatPr defaultRowHeight="15" x14ac:dyDescent="0.25"/>
  <cols>
    <col min="1" max="1" width="25.85546875" customWidth="1"/>
    <col min="2" max="2" width="15.28515625" bestFit="1" customWidth="1"/>
    <col min="3" max="3" width="9.28515625" bestFit="1" customWidth="1"/>
    <col min="4" max="4" width="9.28515625" style="5" bestFit="1" customWidth="1"/>
    <col min="5" max="5" width="13.85546875" style="6" bestFit="1" customWidth="1"/>
  </cols>
  <sheetData>
    <row r="1" spans="1:5" x14ac:dyDescent="0.2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</row>
    <row r="2" spans="1:5" x14ac:dyDescent="0.25">
      <c r="A2" t="s">
        <v>84</v>
      </c>
      <c r="B2" t="s">
        <v>75</v>
      </c>
      <c r="C2" s="8">
        <v>295.60000000000002</v>
      </c>
      <c r="D2" s="9">
        <v>14000</v>
      </c>
      <c r="E2" s="9">
        <f>C2*D2</f>
        <v>4138400.0000000005</v>
      </c>
    </row>
    <row r="3" spans="1:5" x14ac:dyDescent="0.25">
      <c r="A3" t="s">
        <v>91</v>
      </c>
      <c r="B3" t="s">
        <v>75</v>
      </c>
      <c r="C3" s="8">
        <v>200</v>
      </c>
      <c r="D3" s="9">
        <v>33000</v>
      </c>
      <c r="E3" s="9">
        <f>C3*D3</f>
        <v>6600000</v>
      </c>
    </row>
    <row r="4" spans="1:5" x14ac:dyDescent="0.25">
      <c r="C4" s="8"/>
      <c r="D4" s="9"/>
      <c r="E4" s="9"/>
    </row>
    <row r="5" spans="1:5" x14ac:dyDescent="0.25">
      <c r="C5" s="8"/>
      <c r="D5" s="9"/>
      <c r="E5" s="9"/>
    </row>
    <row r="6" spans="1:5" x14ac:dyDescent="0.25">
      <c r="C6" s="8"/>
      <c r="D6" s="9"/>
      <c r="E6" s="9"/>
    </row>
    <row r="7" spans="1:5" x14ac:dyDescent="0.25">
      <c r="C7" s="8"/>
      <c r="D7" s="9"/>
      <c r="E7" s="9"/>
    </row>
    <row r="8" spans="1:5" x14ac:dyDescent="0.25">
      <c r="C8" s="8"/>
      <c r="D8" s="9"/>
      <c r="E8" s="9"/>
    </row>
    <row r="9" spans="1:5" x14ac:dyDescent="0.25">
      <c r="C9" s="8"/>
      <c r="D9" s="9"/>
      <c r="E9" s="9"/>
    </row>
    <row r="10" spans="1:5" x14ac:dyDescent="0.25">
      <c r="C10" s="8"/>
      <c r="D10" s="9"/>
      <c r="E10" s="9"/>
    </row>
    <row r="11" spans="1:5" x14ac:dyDescent="0.25">
      <c r="C11" s="8"/>
      <c r="D11" s="9"/>
      <c r="E11" s="9"/>
    </row>
    <row r="12" spans="1:5" x14ac:dyDescent="0.25">
      <c r="C12" s="8"/>
      <c r="D12" s="9"/>
      <c r="E12" s="9"/>
    </row>
    <row r="13" spans="1:5" x14ac:dyDescent="0.25">
      <c r="C13" s="8"/>
      <c r="D13" s="9"/>
      <c r="E13" s="9"/>
    </row>
    <row r="14" spans="1:5" x14ac:dyDescent="0.25">
      <c r="C14" s="8"/>
      <c r="D14" s="9"/>
      <c r="E14" s="9"/>
    </row>
    <row r="15" spans="1:5" x14ac:dyDescent="0.25">
      <c r="C15" s="8"/>
      <c r="D15" s="9"/>
      <c r="E15" s="9"/>
    </row>
    <row r="16" spans="1:5" x14ac:dyDescent="0.25">
      <c r="C16" s="8"/>
      <c r="D16" s="9"/>
      <c r="E16" s="9"/>
    </row>
    <row r="17" spans="3:5" x14ac:dyDescent="0.25">
      <c r="C17" s="8"/>
      <c r="D17" s="9"/>
      <c r="E17" s="9"/>
    </row>
    <row r="18" spans="3:5" x14ac:dyDescent="0.25">
      <c r="C18" s="8"/>
      <c r="D18" s="9"/>
      <c r="E18" s="9"/>
    </row>
    <row r="19" spans="3:5" x14ac:dyDescent="0.25">
      <c r="C19" s="8"/>
      <c r="D19" s="9"/>
      <c r="E19" s="9"/>
    </row>
    <row r="20" spans="3:5" x14ac:dyDescent="0.25">
      <c r="C20" s="8"/>
      <c r="D20" s="9"/>
      <c r="E20" s="9"/>
    </row>
    <row r="21" spans="3:5" x14ac:dyDescent="0.25">
      <c r="C21" s="8"/>
      <c r="D21" s="9"/>
      <c r="E21" s="9"/>
    </row>
    <row r="22" spans="3:5" x14ac:dyDescent="0.25">
      <c r="C22" s="8"/>
      <c r="D22" s="9"/>
      <c r="E22" s="9"/>
    </row>
    <row r="23" spans="3:5" x14ac:dyDescent="0.25">
      <c r="C23" s="8"/>
      <c r="D23" s="9"/>
      <c r="E23" s="9"/>
    </row>
    <row r="24" spans="3:5" x14ac:dyDescent="0.25">
      <c r="C24" s="8"/>
      <c r="D24" s="9"/>
      <c r="E24" s="9"/>
    </row>
    <row r="25" spans="3:5" x14ac:dyDescent="0.25">
      <c r="C25" s="8"/>
      <c r="D25" s="9"/>
      <c r="E25" s="9"/>
    </row>
    <row r="26" spans="3:5" x14ac:dyDescent="0.25">
      <c r="C26" s="8"/>
      <c r="D26" s="9"/>
      <c r="E26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ackTo_DashBoard">
                <anchor moveWithCells="1" sizeWithCells="1">
                  <from>
                    <xdr:col>5</xdr:col>
                    <xdr:colOff>590550</xdr:colOff>
                    <xdr:row>1</xdr:row>
                    <xdr:rowOff>66675</xdr:rowOff>
                  </from>
                  <to>
                    <xdr:col>8</xdr:col>
                    <xdr:colOff>219075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UI_DASHBOARD</vt:lpstr>
      <vt:lpstr>Main</vt:lpstr>
      <vt:lpstr>CFG_TEMPLATES</vt:lpstr>
      <vt:lpstr>TPL_HDCT</vt:lpstr>
      <vt:lpstr>TPL_BBGN_PXK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2026-02-02T03:35:37Z</dcterms:modified>
</cp:coreProperties>
</file>