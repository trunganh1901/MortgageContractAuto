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60BAA322-B7BB-494E-BC42-A801825A52F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UI_DASHBOARD" sheetId="5" r:id="rId1"/>
    <sheet name="Main" sheetId="1" state="hidden" r:id="rId2"/>
    <sheet name="CFG_TEMPLATES" sheetId="3" state="hidden" r:id="rId3"/>
    <sheet name="TPL_HDCT" sheetId="4" r:id="rId4"/>
    <sheet name="TPL_BBGN_PXK" sheetId="7" state="hidden" r:id="rId5"/>
    <sheet name="Items" sheetId="2" r:id="rId6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D7" i="3"/>
  <c r="D3" i="3"/>
  <c r="D4" i="3"/>
  <c r="D5" i="3"/>
  <c r="D6" i="3"/>
  <c r="D2" i="3"/>
  <c r="E7" i="4" a="1"/>
  <c r="E7" i="4" l="1"/>
  <c r="D24" i="7"/>
  <c r="D15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74" i="4" l="1"/>
  <c r="D73" i="4"/>
  <c r="D72" i="4"/>
  <c r="D71" i="4"/>
  <c r="D70" i="4"/>
  <c r="D69" i="4"/>
  <c r="D68" i="4"/>
  <c r="D67" i="4"/>
  <c r="D66" i="4"/>
  <c r="D65" i="4"/>
  <c r="D64" i="4"/>
  <c r="D63" i="4"/>
  <c r="D61" i="4"/>
  <c r="D60" i="4"/>
  <c r="D59" i="4"/>
  <c r="D58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<sst xmlns="http://schemas.openxmlformats.org/spreadsheetml/2006/main" count="152" uniqueCount="112">
  <si>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</si>
  <si>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</si>
  <si>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</si>
  <si>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</si>
  <si>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</si>
  <si>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</si>
  <si>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</si>
  <si>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</si>
  <si>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</si>
  <si>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</si>
  <si>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</si>
  <si>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</si>
  <si>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</si>
  <si>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</si>
  <si>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</si>
  <si>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</si>
  <si>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</si>
  <si>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</si>
  <si>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</si>
  <si>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</si>
  <si>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</si>
  <si>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</si>
  <si>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</si>
  <si>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</si>
  <si>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</si>
  <si>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</si>
  <si>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</si>
  <si>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</si>
  <si>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</si>
  <si>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</si>
  <si>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</si>
  <si>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</si>
  <si>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</si>
  <si>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</si>
  <si>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</si>
  <si>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</si>
  <si>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</si>
  <si>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</si>
  <si>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</si>
  <si>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</si>
  <si>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</si>
  <si>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</si>
  <si>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</si>
  <si>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</si>
  <si>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</si>
  <si>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</si>
  <si>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</si>
  <si>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</si>
  <si>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</si>
  <si>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</si>
  <si>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</si>
  <si>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</si>
  <si>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</si>
  <si>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</si>
  <si>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</si>
  <si>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</si>
  <si>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</si>
  <si>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</si>
  <si>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</si>
  <si>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</si>
  <si>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</si>
  <si>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</si>
  <si>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</si>
  <si>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</si>
  <si>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</si>
  <si>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</si>
  <si>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</si>
  <si>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</si>
  <si>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</si>
  <si>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</si>
  <si>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</si>
  <si>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</si>
  <si>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</si>
  <si>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</si>
  <si>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</si>
  <si>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</si>
  <si>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</si>
  <si>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</si>
  <si>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</si>
  <si>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</si>
  <si>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</si>
  <si>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Vải A091</t>
  </si>
  <si>
    <t>Mét</t>
  </si>
  <si>
    <t>D:\Desktop\Contract_Automation\Output\Cong_ty_Co_phan_May_Sai_ong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</si>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</sst>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0</xdr:rowOff>
        </xdr:from>
        <xdr:to>
          <xdr:col>8</xdr:col>
          <xdr:colOff>219075</xdr:colOff>
          <xdr:row>2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BackTo_DashBoard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37</v>
      </c>
      <c r="C2" t="str">
        <f>IFERROR(_xlfn.XLOOKUP(B2,CFG_TEMPLATES!A:A,CFG_TEMPLATES!E:E),)</f>
        <v>Hợp đồng cụ thể</v>
      </c>
    </row>
    <row r="4" spans="1:3" x14ac:dyDescent="0.25">
      <c r="C4" t="str">
        <f>IFERROR(_xlfn.XLOOKUP(B2,CFG_TEMPLATES!A:A,CFG_TEMPLATES!B:B),"")</f>
        <v>TPL_HDCT</v>
      </c>
    </row>
    <row r="7" spans="1:3" x14ac:dyDescent="0.25">
      <c r="A7" t="s">
        <v>57</v>
      </c>
      <c r="B7" t="s">
        <v>83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zoomScaleNormal="100" workbookViewId="0">
      <selection activeCell="E7" sqref="E7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64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0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1</v>
      </c>
    </row>
    <row r="4" spans="1:7" x14ac:dyDescent="0.25">
      <c r="A4" t="s">
        <v>65</v>
      </c>
      <c r="B4" t="s">
        <v>66</v>
      </c>
      <c r="C4" t="s">
        <v>67</v>
      </c>
      <c r="D4" t="str">
        <f t="shared" si="0"/>
        <v>DonDatHang</v>
      </c>
      <c r="E4" t="s">
        <v>68</v>
      </c>
      <c r="F4" t="b">
        <v>1</v>
      </c>
      <c r="G4" t="b">
        <v>0</v>
      </c>
    </row>
    <row r="5" spans="1:7" x14ac:dyDescent="0.25">
      <c r="A5" t="s">
        <v>69</v>
      </c>
      <c r="B5" t="s">
        <v>70</v>
      </c>
      <c r="C5" t="s">
        <v>71</v>
      </c>
      <c r="D5" t="str">
        <f t="shared" si="0"/>
        <v>PhieuThuTT200</v>
      </c>
      <c r="E5" t="s">
        <v>72</v>
      </c>
      <c r="F5" t="b">
        <v>0</v>
      </c>
      <c r="G5" t="b">
        <v>0</v>
      </c>
    </row>
    <row r="6" spans="1:7" x14ac:dyDescent="0.25">
      <c r="A6" t="s">
        <v>75</v>
      </c>
      <c r="B6" t="s">
        <v>73</v>
      </c>
      <c r="C6" t="s">
        <v>74</v>
      </c>
      <c r="D6" t="str">
        <f t="shared" si="0"/>
        <v>HD_RIENGLE</v>
      </c>
      <c r="E6" t="s">
        <v>76</v>
      </c>
      <c r="F6" t="b">
        <v>1</v>
      </c>
      <c r="G6" t="b">
        <v>1</v>
      </c>
    </row>
    <row r="7" spans="1:7" x14ac:dyDescent="0.25">
      <c r="A7" t="s">
        <v>77</v>
      </c>
      <c r="B7" t="s">
        <v>78</v>
      </c>
      <c r="C7" t="s">
        <v>79</v>
      </c>
      <c r="D7" t="str">
        <f t="shared" si="0"/>
        <v>BaoGia</v>
      </c>
      <c r="E7" t="s">
        <v>80</v>
      </c>
      <c r="F7" t="b">
        <v>1</v>
      </c>
      <c r="G7" t="b">
        <v>1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4"/>
  <sheetViews>
    <sheetView showGridLines="0" tabSelected="1" zoomScaleNormal="100" workbookViewId="0">
      <selection activeCell="E7" sqref="E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85</v>
      </c>
      <c r="C4" s="1"/>
      <c r="D4" s="1"/>
      <c r="Z4" t="s">
        <v>37</v>
      </c>
    </row>
    <row r="5" spans="1:26" x14ac:dyDescent="0.25">
      <c r="A5" t="s">
        <v>100</v>
      </c>
      <c r="C5" s="1"/>
      <c r="D5" s="1"/>
    </row>
    <row r="6" spans="1:26" x14ac:dyDescent="0.25">
      <c r="A6" t="s">
        <v>84</v>
      </c>
      <c r="C6" s="2"/>
      <c r="D6" s="2"/>
      <c r="E6" s="6">
        <v>2341421421</v>
      </c>
    </row>
    <row r="7" spans="1:26" x14ac:dyDescent="0.25">
      <c r="A7" t="s">
        <v>88</v>
      </c>
      <c r="C7" s="2"/>
      <c r="D7" s="2"/>
      <c r="E7" t="str" cm="1">
        <f t="array" ref="E7">VndToWords(E6,0,1)</f>
        <v>Hai tỷ ba trăm bốn mươi mốt triệu bốn trăm hai mươi mốt nghìn bốn trăm hai mươi mốt đồng chẵn</v>
      </c>
    </row>
    <row r="8" spans="1:26" x14ac:dyDescent="0.25">
      <c r="A8" t="s">
        <v>22</v>
      </c>
      <c r="C8" s="2"/>
      <c r="D8" s="2"/>
    </row>
    <row r="9" spans="1:26" x14ac:dyDescent="0.25">
      <c r="A9" t="s">
        <v>89</v>
      </c>
      <c r="C9" s="2"/>
      <c r="D9" s="2"/>
    </row>
    <row r="10" spans="1:26" x14ac:dyDescent="0.25">
      <c r="A10" t="s">
        <v>90</v>
      </c>
      <c r="C10" s="2"/>
      <c r="D10" s="2"/>
    </row>
    <row r="11" spans="1:26" x14ac:dyDescent="0.25">
      <c r="A11" t="s">
        <v>91</v>
      </c>
      <c r="C11" s="2"/>
      <c r="D11" s="2"/>
    </row>
    <row r="12" spans="1:26" x14ac:dyDescent="0.25">
      <c r="A12" t="s">
        <v>87</v>
      </c>
      <c r="C12" s="2"/>
      <c r="D12" s="2"/>
    </row>
    <row r="13" spans="1:26" x14ac:dyDescent="0.25">
      <c r="A13" t="s">
        <v>86</v>
      </c>
      <c r="C13" s="2"/>
      <c r="D13" s="2"/>
    </row>
    <row r="14" spans="1:26" x14ac:dyDescent="0.25">
      <c r="A14" t="s">
        <v>92</v>
      </c>
      <c r="C14" s="2"/>
      <c r="D14" s="2"/>
    </row>
    <row r="15" spans="1:26" x14ac:dyDescent="0.25">
      <c r="A15" t="s">
        <v>93</v>
      </c>
      <c r="C15" s="2"/>
      <c r="D15" s="2"/>
    </row>
    <row r="16" spans="1:26" x14ac:dyDescent="0.25">
      <c r="A16" t="s">
        <v>94</v>
      </c>
      <c r="C16" s="2"/>
      <c r="D16" s="2"/>
    </row>
    <row r="17" spans="1:4" x14ac:dyDescent="0.25">
      <c r="A17" t="s">
        <v>95</v>
      </c>
      <c r="C17" s="2"/>
      <c r="D17" s="2"/>
    </row>
    <row r="18" spans="1:4" x14ac:dyDescent="0.25">
      <c r="A18" t="s">
        <v>96</v>
      </c>
    </row>
    <row r="19" spans="1:4" x14ac:dyDescent="0.25">
      <c r="C19" s="4"/>
      <c r="D19" s="10"/>
    </row>
    <row r="20" spans="1:4" x14ac:dyDescent="0.25">
      <c r="A20" t="s">
        <v>97</v>
      </c>
    </row>
    <row r="21" spans="1:4" x14ac:dyDescent="0.25">
      <c r="A21" t="s">
        <v>98</v>
      </c>
    </row>
    <row r="22" spans="1:4" x14ac:dyDescent="0.25">
      <c r="A22" t="s">
        <v>101</v>
      </c>
    </row>
    <row r="23" spans="1:4" x14ac:dyDescent="0.25">
      <c r="A23" t="s">
        <v>102</v>
      </c>
    </row>
    <row r="24" spans="1:4" x14ac:dyDescent="0.25">
      <c r="A24" t="s">
        <v>103</v>
      </c>
    </row>
    <row r="25" spans="1:4" x14ac:dyDescent="0.25">
      <c r="A25" t="s">
        <v>104</v>
      </c>
    </row>
    <row r="26" spans="1:4" x14ac:dyDescent="0.25">
      <c r="A26" t="s">
        <v>105</v>
      </c>
    </row>
    <row r="27" spans="1:4" x14ac:dyDescent="0.25">
      <c r="A27" t="s">
        <v>106</v>
      </c>
    </row>
    <row r="28" spans="1:4" x14ac:dyDescent="0.25">
      <c r="A28" t="s">
        <v>99</v>
      </c>
    </row>
    <row r="29" spans="1:4" x14ac:dyDescent="0.25">
      <c r="A29" t="s">
        <v>107</v>
      </c>
    </row>
    <row r="30" spans="1:4" x14ac:dyDescent="0.25">
      <c r="A30" t="s">
        <v>108</v>
      </c>
    </row>
    <row r="31" spans="1:4" x14ac:dyDescent="0.25">
      <c r="A31" t="s">
        <v>109</v>
      </c>
    </row>
    <row r="32" spans="1:4" x14ac:dyDescent="0.25">
      <c r="A32" t="s">
        <v>110</v>
      </c>
    </row>
    <row r="33" spans="1:4" x14ac:dyDescent="0.25">
      <c r="A33" t="s">
        <v>111</v>
      </c>
    </row>
    <row r="47" spans="1:4" x14ac:dyDescent="0.25">
      <c r="A47" t="s">
        <v>99</v>
      </c>
      <c r="C47" s="1"/>
      <c r="D47" s="1"/>
    </row>
    <row r="48" spans="1:4" x14ac:dyDescent="0.25">
      <c r="C48" s="2"/>
      <c r="D48" s="2"/>
    </row>
    <row r="49" spans="3:4" x14ac:dyDescent="0.25">
      <c r="C49" s="2"/>
      <c r="D49" s="2"/>
    </row>
    <row r="51" spans="3:4" x14ac:dyDescent="0.25">
      <c r="C51" s="3"/>
      <c r="D51" s="3"/>
    </row>
    <row r="52" spans="3:4" x14ac:dyDescent="0.25">
      <c r="D52" s="14"/>
    </row>
    <row r="53" spans="3:4" x14ac:dyDescent="0.25">
      <c r="C53" s="11"/>
    </row>
    <row r="58" spans="3:4" x14ac:dyDescent="0.25">
      <c r="D58" t="str">
        <f t="shared" ref="D58:D74" si="0">IF(ISBLANK(C58),"",C58)</f>
        <v/>
      </c>
    </row>
    <row r="59" spans="3:4" x14ac:dyDescent="0.25">
      <c r="D59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  <row r="72" spans="4:4" x14ac:dyDescent="0.25">
      <c r="D72" t="str">
        <f t="shared" si="0"/>
        <v/>
      </c>
    </row>
    <row r="73" spans="4:4" x14ac:dyDescent="0.25">
      <c r="D73" t="str">
        <f t="shared" si="0"/>
        <v/>
      </c>
    </row>
    <row r="74" spans="4:4" x14ac:dyDescent="0.25">
      <c r="D74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2"/>
  <sheetViews>
    <sheetView zoomScale="85" zoomScaleNormal="85" workbookViewId="0">
      <selection activeCell="C44" sqref="C44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t="s">
        <v>81</v>
      </c>
      <c r="B2" t="s">
        <v>82</v>
      </c>
      <c r="C2" s="8">
        <v>1986</v>
      </c>
      <c r="D2" s="9">
        <v>63000</v>
      </c>
      <c r="E2" s="9">
        <f>C2*D2</f>
        <v>125118000</v>
      </c>
    </row>
    <row r="3" spans="1:5" x14ac:dyDescent="0.25">
      <c r="C3" s="8"/>
      <c r="D3" s="9"/>
      <c r="E3" s="9"/>
    </row>
    <row r="4" spans="1:5" x14ac:dyDescent="0.25">
      <c r="C4" s="8"/>
      <c r="D4" s="9"/>
      <c r="E4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ackTo_DashBoard">
                <anchor moveWithCells="1" sizeWithCells="1">
                  <from>
                    <xdr:col>5</xdr:col>
                    <xdr:colOff>590550</xdr:colOff>
                    <xdr:row>1</xdr:row>
                    <xdr:rowOff>0</xdr:rowOff>
                  </from>
                  <to>
                    <xdr:col>8</xdr:col>
                    <xdr:colOff>219075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UI_DASHBOARD</vt:lpstr>
      <vt:lpstr>Main</vt:lpstr>
      <vt:lpstr>CFG_TEMPLATES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2026-04-09T15:46:20Z</dcterms:modified>
</cp:coreProperties>
</file>